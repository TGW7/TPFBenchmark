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4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ndards" sheetId="2" state="visible" r:id="rId2"/>
    <sheet xmlns:r="http://schemas.openxmlformats.org/officeDocument/2006/relationships" name="Weights" sheetId="3" state="visible" r:id="rId3"/>
    <sheet xmlns:r="http://schemas.openxmlformats.org/officeDocument/2006/relationships" name="Pathway context" sheetId="4" state="visible" r:id="rId4"/>
    <sheet xmlns:r="http://schemas.openxmlformats.org/officeDocument/2006/relationships" name="Strength by pathway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FFFFFFFF"/>
      <sz val="11"/>
    </font>
    <font>
      <name val="Inter"/>
      <sz val="11"/>
    </font>
    <font>
      <name val="Inter"/>
      <i val="1"/>
      <color rgb="FF6B7280"/>
      <sz val="9"/>
    </font>
    <font>
      <name val="Inter"/>
      <b val="1"/>
      <sz val="18"/>
    </font>
    <font>
      <name val="Inter"/>
      <i val="1"/>
      <color rgb="FF6B7280"/>
      <sz val="11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20" fontId="2" fillId="0" borderId="1" applyAlignment="1" pivotButton="0" quotePrefix="0" xfId="0">
      <alignment horizontal="center" vertical="center"/>
    </xf>
    <xf numFmtId="21" fontId="2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/>
  </cellStyles>
  <dxfs count="15">
    <dxf>
      <font>
        <name val="Inter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  <border>
        <left style="thin">
          <color rgb="FFD1D5DB"/>
        </left>
        <right/>
        <top style="thin">
          <color rgb="FFD1D5DB"/>
        </top>
        <bottom style="thin">
          <color rgb="FFD1D5DB"/>
        </bottom>
        <vertical/>
        <horizontal/>
      </border>
    </dxf>
    <dxf>
      <font>
        <name val="Inter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  <border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name val="Inter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  <border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name val="Inter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  <border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name val="Inter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  <border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name val="Inter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  <border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name val="Inter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  <border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name val="Inter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  <border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name val="Inter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  <border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name val="Inter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  <border>
        <left/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top style="thin">
          <color rgb="FFD1D5DB"/>
        </top>
      </border>
    </dxf>
    <dxf>
      <border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name val="Inter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</dxf>
    <dxf>
      <border outline="0">
        <bottom style="thin">
          <color rgb="FFD1D5DB"/>
        </bottom>
      </border>
    </dxf>
    <dxf>
      <font>
        <name val="Inter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1F2937"/>
        </patternFill>
      </fill>
      <alignment horizontal="center" vertical="center" wrapText="1"/>
      <border outline="0">
        <left style="thin">
          <color rgb="FFD1D5DB"/>
        </left>
        <right style="thin">
          <color rgb="FFD1D5DB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1" displayName="Table1" ref="A1:J126" headerRowCount="1" totalsRowShown="0" headerRowDxfId="14" dataDxfId="12" headerRowBorderDxfId="13" tableBorderDxfId="11" totalsRowBorderDxfId="10">
  <autoFilter ref="A1:J126">
    <filterColumn colId="0" hiddenButton="0" showButton="1">
      <filters>
        <filter val="Navy SEAL (BUD/S)"/>
        <filter val="Tactical (generic)"/>
        <filter val="UK Parachute Regiment (P Coy)"/>
        <filter val="UK Royal Marines (Cdo Course)"/>
        <filter val="UK Special Forces (SAS/SBS)"/>
      </filters>
    </filterColumn>
  </autoFilter>
  <tableColumns count="10">
    <tableColumn id="1" name="Pathway" dataDxfId="9"/>
    <tableColumn id="2" name="Component" dataDxfId="8"/>
    <tableColumn id="3" name="Benchmark" dataDxfId="7"/>
    <tableColumn id="4" name="Unit" dataDxfId="6"/>
    <tableColumn id="5" name="Direction" dataDxfId="5"/>
    <tableColumn id="6" name="Pass" dataDxfId="4"/>
    <tableColumn id="7" name="Good" dataDxfId="3"/>
    <tableColumn id="8" name="Excellent" dataDxfId="2"/>
    <tableColumn id="9" name="Elite" dataDxfId="1"/>
    <tableColumn id="10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9" sqref="A19"/>
    </sheetView>
  </sheetViews>
  <sheetFormatPr baseColWidth="10" defaultColWidth="8.83203125" defaultRowHeight="15"/>
  <cols>
    <col width="100" customWidth="1" min="1" max="1"/>
  </cols>
  <sheetData>
    <row r="1" ht="23" customHeight="1">
      <c r="A1" s="1" t="inlineStr">
        <is>
          <t>TPF Operational Readiness Score — Standards</t>
        </is>
      </c>
    </row>
    <row r="2">
      <c r="A2" s="2" t="inlineStr">
        <is>
          <t>Generated 2026-05-11 · for Phase 12 review</t>
        </is>
      </c>
    </row>
    <row r="3">
      <c r="A3" s="3" t="n"/>
    </row>
    <row r="4">
      <c r="A4" s="3" t="inlineStr">
        <is>
          <t>Tiers (4-level):</t>
        </is>
      </c>
    </row>
    <row r="5">
      <c r="A5" s="3" t="inlineStr">
        <is>
          <t xml:space="preserve">  Pass       — PFT pass / official minimum</t>
        </is>
      </c>
    </row>
    <row r="6">
      <c r="A6" s="3" t="inlineStr">
        <is>
          <t xml:space="preserve">  Good       — comfortable margin above PFT</t>
        </is>
      </c>
    </row>
    <row r="7">
      <c r="A7" s="3" t="inlineStr">
        <is>
          <t xml:space="preserve">  Excellent  — what you actually need to be good at the job</t>
        </is>
      </c>
    </row>
    <row r="8">
      <c r="A8" s="3" t="inlineStr">
        <is>
          <t xml:space="preserve">  Elite      — top decile · "top class soldier" territory</t>
        </is>
      </c>
    </row>
    <row r="9">
      <c r="A9" s="3" t="n"/>
    </row>
    <row r="10">
      <c r="A10" s="3" t="inlineStr">
        <is>
          <t>Strength values: ABSOLUTE kg (not × BW). Same job demands the same load regardless of who is doing it.</t>
        </is>
      </c>
    </row>
    <row r="11">
      <c r="A11" s="3" t="inlineStr">
        <is>
          <t>HBDL is ~10% higher than conventional DL across every pathway (Cholewa 2019; Camara 2016).</t>
        </is>
      </c>
    </row>
    <row r="12">
      <c r="A12" s="3" t="n"/>
    </row>
    <row r="13">
      <c r="A13" s="3" t="inlineStr">
        <is>
          <t>Sheets:</t>
        </is>
      </c>
    </row>
    <row r="14">
      <c r="A14" s="3" t="inlineStr">
        <is>
          <t xml:space="preserve">  Standards            — every (pathway, benchmark) row with all 4 tiers. Edit values here.</t>
        </is>
      </c>
    </row>
    <row r="15">
      <c r="A15" s="3" t="inlineStr">
        <is>
          <t xml:space="preserve">  Weights              — component weight % per pathway. Must sum to 100.</t>
        </is>
      </c>
    </row>
    <row r="16">
      <c r="A16" s="3" t="inlineStr">
        <is>
          <t xml:space="preserve">  Pathway context      — typical BW, carry load, role-specific notes.</t>
        </is>
      </c>
    </row>
    <row r="17">
      <c r="A17" s="3" t="inlineStr">
        <is>
          <t xml:space="preserve">  Strength by pathway  — pivoted view of strength + grip + power only.</t>
        </is>
      </c>
    </row>
    <row r="18">
      <c r="A18" s="3" t="n"/>
    </row>
    <row r="19">
      <c r="A19" s="3" t="inlineStr">
        <is>
          <t>How to edit:</t>
        </is>
      </c>
    </row>
    <row r="20">
      <c r="A20" s="3" t="inlineStr">
        <is>
          <t xml:space="preserve">  • Change any tier value in the Standards sheet. Save back as .xlsx.</t>
        </is>
      </c>
    </row>
    <row r="21">
      <c r="A21" s="3" t="inlineStr">
        <is>
          <t xml:space="preserve">  • Use the BW context column to sanity-check absolute numbers.</t>
        </is>
      </c>
    </row>
    <row r="22">
      <c r="A22" s="3" t="inlineStr">
        <is>
          <t xml:space="preserve">  • Set a value to "—" or blank if a pathway should not be tested on that benchmark.</t>
        </is>
      </c>
    </row>
    <row r="23">
      <c r="A23" s="3" t="inlineStr">
        <is>
          <t xml:space="preserve">  • Adjust the Weights sheet if you want to re-balance component priorities; sum stays 100.</t>
        </is>
      </c>
    </row>
    <row r="24">
      <c r="A24" s="3" t="n"/>
    </row>
    <row r="25">
      <c r="A25" s="3" t="inlineStr">
        <is>
          <t>When you are done editing, ping me and I will load the new values into operational_readiness.ts</t>
        </is>
      </c>
    </row>
    <row r="26">
      <c r="A26" s="3" t="inlineStr">
        <is>
          <t>and run the test suite to confirm the sum-to-100 + every-benchmarked-component-has-a-benchmark</t>
        </is>
      </c>
    </row>
    <row r="27">
      <c r="A27" s="3" t="inlineStr">
        <is>
          <t>invariants still hold.</t>
        </is>
      </c>
    </row>
    <row r="29">
      <c r="A29" t="inlineStr">
        <is>
          <t>2026-05-21 resync — values synced from benchmark_tests.ts (app v1.14).</t>
        </is>
      </c>
    </row>
    <row r="30">
      <c r="A30" t="inlineStr">
        <is>
          <t xml:space="preserve">  Pathways updated: Navy SEAL (BUD/S), UK ARU / SCO19, UK Parachute Regiment (P Coy), UK Police JRFT, UK Royal Marines (Cdo Course), US Army, US Army Airborne, US Army Special Forces (SFAS), US Marine Corps (PFT/CFT), US Police PFT, US SWAT, USAF Pararescue (PJ)</t>
        </is>
      </c>
    </row>
    <row r="31">
      <c r="A31" t="inlineStr">
        <is>
          <t xml:space="preserve">  Pathways left alone (not in app — xlsx canonical): Police PT, SWAT / Tactical Team, Tactical (generic), UK Army, UK Infantry, UK Special Forces (SAS/SBS), US Infantry</t>
        </is>
      </c>
    </row>
    <row r="32">
      <c r="A32" t="inlineStr">
        <is>
          <t xml:space="preserve">  Pathways appended (in app, were not in xlsx): US Army Ranger RASP (Entry)</t>
        </is>
      </c>
    </row>
    <row r="33">
      <c r="A33" t="inlineStr">
        <is>
          <t xml:space="preserve">  See Standards col K "App status" for per-row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0"/>
  <sheetViews>
    <sheetView zoomScale="178" workbookViewId="0">
      <pane ySplit="1" topLeftCell="A2" activePane="bottomLeft" state="frozen"/>
      <selection pane="bottomLeft" activeCell="F128" activeCellId="1" sqref="F112:I112 F128"/>
    </sheetView>
  </sheetViews>
  <sheetFormatPr baseColWidth="10" defaultColWidth="8.83203125" defaultRowHeight="15"/>
  <cols>
    <col width="32" customWidth="1" min="1" max="1"/>
    <col width="18" customWidth="1" min="2" max="2"/>
    <col width="24" customWidth="1" min="3" max="3"/>
    <col width="8" customWidth="1" min="4" max="4"/>
    <col width="18" customWidth="1" min="5" max="5"/>
    <col width="10" customWidth="1" min="6" max="7"/>
    <col width="12" customWidth="1" min="8" max="8"/>
    <col width="10" customWidth="1" min="9" max="9"/>
    <col width="30" customWidth="1" min="10" max="10"/>
  </cols>
  <sheetData>
    <row r="1" ht="16" customHeight="1">
      <c r="A1" s="10" t="inlineStr">
        <is>
          <t>Pathway</t>
        </is>
      </c>
      <c r="B1" s="11" t="inlineStr">
        <is>
          <t>Component</t>
        </is>
      </c>
      <c r="C1" s="11" t="inlineStr">
        <is>
          <t>Benchmark</t>
        </is>
      </c>
      <c r="D1" s="11" t="inlineStr">
        <is>
          <t>Unit</t>
        </is>
      </c>
      <c r="E1" s="11" t="inlineStr">
        <is>
          <t>Direction</t>
        </is>
      </c>
      <c r="F1" s="11" t="inlineStr">
        <is>
          <t>Pass</t>
        </is>
      </c>
      <c r="G1" s="11" t="inlineStr">
        <is>
          <t>Good</t>
        </is>
      </c>
      <c r="H1" s="11" t="inlineStr">
        <is>
          <t>Excellent</t>
        </is>
      </c>
      <c r="I1" s="11" t="inlineStr">
        <is>
          <t>Elite</t>
        </is>
      </c>
      <c r="J1" s="12" t="inlineStr">
        <is>
          <t>Notes</t>
        </is>
      </c>
      <c r="K1" s="19" t="inlineStr">
        <is>
          <t>App status</t>
        </is>
      </c>
    </row>
    <row r="2">
      <c r="A2" s="8" t="inlineStr">
        <is>
          <t>UK Parachute Regiment (P Coy)</t>
        </is>
      </c>
      <c r="B2" s="5" t="inlineStr">
        <is>
          <t>lower_strength</t>
        </is>
      </c>
      <c r="C2" s="5" t="inlineStr">
        <is>
          <t>Back Squat</t>
        </is>
      </c>
      <c r="D2" s="6" t="inlineStr">
        <is>
          <t>kg</t>
        </is>
      </c>
      <c r="E2" s="5" t="inlineStr">
        <is>
          <t>higher-is-better</t>
        </is>
      </c>
      <c r="F2" s="6">
        <f>IFERROR(VLOOKUP("UK Parachute Regiment (P Coy)",'Strength by pathway'!$A:$AG,2,FALSE),"—")</f>
        <v/>
      </c>
      <c r="G2" s="6">
        <f>IFERROR(VLOOKUP("UK Parachute Regiment (P Coy)",'Strength by pathway'!$A:$AG,3,FALSE),"—")</f>
        <v/>
      </c>
      <c r="H2" s="6">
        <f>IFERROR(VLOOKUP("UK Parachute Regiment (P Coy)",'Strength by pathway'!$A:$AG,4,FALSE),"—")</f>
        <v/>
      </c>
      <c r="I2" s="6">
        <f>IFERROR(VLOOKUP("UK Parachute Regiment (P Coy)",'Strength by pathway'!$A:$AG,5,FALSE),"—")</f>
        <v/>
      </c>
      <c r="J2" s="9" t="n"/>
      <c r="K2" t="inlineStr">
        <is>
          <t>synced 2026-05-21 from benchmark_tests.ts</t>
        </is>
      </c>
    </row>
    <row r="3">
      <c r="A3" s="8" t="inlineStr">
        <is>
          <t>UK Parachute Regiment (P Coy)</t>
        </is>
      </c>
      <c r="B3" s="5" t="inlineStr">
        <is>
          <t>lower_strength</t>
        </is>
      </c>
      <c r="C3" s="5" t="inlineStr">
        <is>
          <t>Hex-bar DL</t>
        </is>
      </c>
      <c r="D3" s="6" t="inlineStr">
        <is>
          <t>kg</t>
        </is>
      </c>
      <c r="E3" s="5" t="inlineStr">
        <is>
          <t>higher-is-better</t>
        </is>
      </c>
      <c r="F3" s="6">
        <f>IFERROR(VLOOKUP("UK Parachute Regiment (P Coy)",'Strength by pathway'!$A:$AG,6,FALSE),"—")</f>
        <v/>
      </c>
      <c r="G3" s="6">
        <f>IFERROR(VLOOKUP("UK Parachute Regiment (P Coy)",'Strength by pathway'!$A:$AG,7,FALSE),"—")</f>
        <v/>
      </c>
      <c r="H3" s="6">
        <f>IFERROR(VLOOKUP("UK Parachute Regiment (P Coy)",'Strength by pathway'!$A:$AG,8,FALSE),"—")</f>
        <v/>
      </c>
      <c r="I3" s="6">
        <f>IFERROR(VLOOKUP("UK Parachute Regiment (P Coy)",'Strength by pathway'!$A:$AG,9,FALSE),"—")</f>
        <v/>
      </c>
      <c r="J3" s="9" t="n"/>
    </row>
    <row r="4">
      <c r="A4" s="8" t="inlineStr">
        <is>
          <t>UK Parachute Regiment (P Coy)</t>
        </is>
      </c>
      <c r="B4" s="5" t="inlineStr">
        <is>
          <t>lower_strength</t>
        </is>
      </c>
      <c r="C4" s="5" t="inlineStr">
        <is>
          <t>Conventional DL</t>
        </is>
      </c>
      <c r="D4" s="6" t="inlineStr">
        <is>
          <t>kg</t>
        </is>
      </c>
      <c r="E4" s="5" t="inlineStr">
        <is>
          <t>higher-is-better</t>
        </is>
      </c>
      <c r="F4" s="6">
        <f>IFERROR(VLOOKUP("UK Parachute Regiment (P Coy)",'Strength by pathway'!$A:$AG,10,FALSE),"—")</f>
        <v/>
      </c>
      <c r="G4" s="6">
        <f>IFERROR(VLOOKUP("UK Parachute Regiment (P Coy)",'Strength by pathway'!$A:$AG,11,FALSE),"—")</f>
        <v/>
      </c>
      <c r="H4" s="6">
        <f>IFERROR(VLOOKUP("UK Parachute Regiment (P Coy)",'Strength by pathway'!$A:$AG,12,FALSE),"—")</f>
        <v/>
      </c>
      <c r="I4" s="6">
        <f>IFERROR(VLOOKUP("UK Parachute Regiment (P Coy)",'Strength by pathway'!$A:$AG,13,FALSE),"—")</f>
        <v/>
      </c>
      <c r="J4" s="9" t="n"/>
    </row>
    <row r="5">
      <c r="A5" s="8" t="inlineStr">
        <is>
          <t>UK Parachute Regiment (P Coy)</t>
        </is>
      </c>
      <c r="B5" s="5" t="inlineStr">
        <is>
          <t>upper_strength</t>
        </is>
      </c>
      <c r="C5" s="5" t="inlineStr">
        <is>
          <t>Bench Press</t>
        </is>
      </c>
      <c r="D5" s="6" t="inlineStr">
        <is>
          <t>kg</t>
        </is>
      </c>
      <c r="E5" s="5" t="inlineStr">
        <is>
          <t>higher-is-better</t>
        </is>
      </c>
      <c r="F5" s="6">
        <f>IFERROR(VLOOKUP("UK Parachute Regiment (P Coy)",'Strength by pathway'!$A:$AG,14,FALSE),"—")</f>
        <v/>
      </c>
      <c r="G5" s="6">
        <f>IFERROR(VLOOKUP("UK Parachute Regiment (P Coy)",'Strength by pathway'!$A:$AG,15,FALSE),"—")</f>
        <v/>
      </c>
      <c r="H5" s="6">
        <f>IFERROR(VLOOKUP("UK Parachute Regiment (P Coy)",'Strength by pathway'!$A:$AG,16,FALSE),"—")</f>
        <v/>
      </c>
      <c r="I5" s="6">
        <f>IFERROR(VLOOKUP("UK Parachute Regiment (P Coy)",'Strength by pathway'!$A:$AG,17,FALSE),"—")</f>
        <v/>
      </c>
      <c r="J5" s="9" t="n"/>
    </row>
    <row r="6">
      <c r="A6" s="8" t="inlineStr">
        <is>
          <t>UK Parachute Regiment (P Coy)</t>
        </is>
      </c>
      <c r="B6" s="5" t="inlineStr">
        <is>
          <t>power</t>
        </is>
      </c>
      <c r="C6" s="5" t="inlineStr">
        <is>
          <t>Power Clean</t>
        </is>
      </c>
      <c r="D6" s="6" t="inlineStr">
        <is>
          <t>kg</t>
        </is>
      </c>
      <c r="E6" s="5" t="inlineStr">
        <is>
          <t>higher-is-better</t>
        </is>
      </c>
      <c r="F6" s="6">
        <f>IFERROR(VLOOKUP("UK Parachute Regiment (P Coy)",'Strength by pathway'!$A:$AG,22,FALSE),"—")</f>
        <v/>
      </c>
      <c r="G6" s="6">
        <f>IFERROR(VLOOKUP("UK Parachute Regiment (P Coy)",'Strength by pathway'!$A:$AG,23,FALSE),"—")</f>
        <v/>
      </c>
      <c r="H6" s="6">
        <f>IFERROR(VLOOKUP("UK Parachute Regiment (P Coy)",'Strength by pathway'!$A:$AG,24,FALSE),"—")</f>
        <v/>
      </c>
      <c r="I6" s="6">
        <f>IFERROR(VLOOKUP("UK Parachute Regiment (P Coy)",'Strength by pathway'!$A:$AG,25,FALSE),"—")</f>
        <v/>
      </c>
      <c r="J6" s="9" t="n"/>
    </row>
    <row r="7">
      <c r="A7" s="8" t="inlineStr">
        <is>
          <t>UK Parachute Regiment (P Coy)</t>
        </is>
      </c>
      <c r="B7" s="5" t="inlineStr">
        <is>
          <t>power</t>
        </is>
      </c>
      <c r="C7" s="5" t="inlineStr">
        <is>
          <t>Broad Jump</t>
        </is>
      </c>
      <c r="D7" s="6" t="inlineStr">
        <is>
          <t>m</t>
        </is>
      </c>
      <c r="E7" s="5" t="inlineStr">
        <is>
          <t>higher-is-better</t>
        </is>
      </c>
      <c r="F7" s="6">
        <f>IFERROR(VLOOKUP("UK Parachute Regiment (P Coy)",'Strength by pathway'!$A:$AG,26,FALSE),"—")</f>
        <v/>
      </c>
      <c r="G7" s="6">
        <f>IFERROR(VLOOKUP("UK Parachute Regiment (P Coy)",'Strength by pathway'!$A:$AG,27,FALSE),"—")</f>
        <v/>
      </c>
      <c r="H7" s="6">
        <f>IFERROR(VLOOKUP("UK Parachute Regiment (P Coy)",'Strength by pathway'!$A:$AG,28,FALSE),"—")</f>
        <v/>
      </c>
      <c r="I7" s="6">
        <f>IFERROR(VLOOKUP("UK Parachute Regiment (P Coy)",'Strength by pathway'!$A:$AG,29,FALSE),"—")</f>
        <v/>
      </c>
      <c r="J7" s="9" t="n"/>
    </row>
    <row r="8">
      <c r="A8" s="8" t="inlineStr">
        <is>
          <t>UK Parachute Regiment (P Coy)</t>
        </is>
      </c>
      <c r="B8" s="5" t="inlineStr">
        <is>
          <t>grip</t>
        </is>
      </c>
      <c r="C8" s="5" t="inlineStr">
        <is>
          <t>Dead hang (grip)</t>
        </is>
      </c>
      <c r="D8" s="6" t="inlineStr">
        <is>
          <t>sec</t>
        </is>
      </c>
      <c r="E8" s="5" t="inlineStr">
        <is>
          <t>higher-is-better</t>
        </is>
      </c>
      <c r="F8" s="6">
        <f>IFERROR(VLOOKUP("UK Parachute Regiment (P Coy)",'Strength by pathway'!$A:$AG,30,FALSE),"—")</f>
        <v/>
      </c>
      <c r="G8" s="6">
        <f>IFERROR(VLOOKUP("UK Parachute Regiment (P Coy)",'Strength by pathway'!$A:$AG,31,FALSE),"—")</f>
        <v/>
      </c>
      <c r="H8" s="6">
        <f>IFERROR(VLOOKUP("UK Parachute Regiment (P Coy)",'Strength by pathway'!$A:$AG,32,FALSE),"—")</f>
        <v/>
      </c>
      <c r="I8" s="6">
        <f>IFERROR(VLOOKUP("UK Parachute Regiment (P Coy)",'Strength by pathway'!$A:$AG,33,FALSE),"—")</f>
        <v/>
      </c>
      <c r="J8" s="9" t="n"/>
    </row>
    <row r="9">
      <c r="A9" s="8" t="inlineStr">
        <is>
          <t>UK Parachute Regiment (P Coy)</t>
        </is>
      </c>
      <c r="B9" s="5" t="inlineStr">
        <is>
          <t>upper_endurance</t>
        </is>
      </c>
      <c r="C9" s="5" t="inlineStr">
        <is>
          <t>Pull-ups (no time)</t>
        </is>
      </c>
      <c r="D9" s="6" t="inlineStr">
        <is>
          <t>reps</t>
        </is>
      </c>
      <c r="E9" s="5" t="inlineStr">
        <is>
          <t>higher-is-better</t>
        </is>
      </c>
      <c r="F9" s="6" t="n">
        <v>5</v>
      </c>
      <c r="G9" s="6" t="n">
        <v>8</v>
      </c>
      <c r="H9" s="6" t="n">
        <v>12</v>
      </c>
      <c r="I9" s="6" t="n">
        <v>20</v>
      </c>
      <c r="J9" s="9" t="n"/>
    </row>
    <row r="10">
      <c r="A10" s="8" t="inlineStr">
        <is>
          <t>UK Parachute Regiment (P Coy)</t>
        </is>
      </c>
      <c r="B10" s="5" t="inlineStr">
        <is>
          <t>upper_endurance</t>
        </is>
      </c>
      <c r="C10" s="5" t="inlineStr">
        <is>
          <t>Push-ups (2 min)</t>
        </is>
      </c>
      <c r="D10" s="6" t="inlineStr">
        <is>
          <t>reps</t>
        </is>
      </c>
      <c r="E10" s="5" t="inlineStr">
        <is>
          <t>higher-is-better</t>
        </is>
      </c>
      <c r="F10" s="6" t="n">
        <v>25</v>
      </c>
      <c r="G10" s="6" t="n">
        <v>40</v>
      </c>
      <c r="H10" s="6" t="n">
        <v>60</v>
      </c>
      <c r="I10" s="6" t="n">
        <v>80</v>
      </c>
      <c r="J10" s="9" t="n"/>
    </row>
    <row r="11">
      <c r="A11" s="8" t="inlineStr">
        <is>
          <t>UK Parachute Regiment (P Coy)</t>
        </is>
      </c>
      <c r="B11" s="5" t="inlineStr">
        <is>
          <t>core_endurance</t>
        </is>
      </c>
      <c r="C11" s="5" t="inlineStr">
        <is>
          <t>Sit-ups (2 min)</t>
        </is>
      </c>
      <c r="D11" s="6" t="inlineStr">
        <is>
          <t>reps</t>
        </is>
      </c>
      <c r="E11" s="5" t="inlineStr">
        <is>
          <t>higher-is-better</t>
        </is>
      </c>
      <c r="F11" s="6" t="n">
        <v>30</v>
      </c>
      <c r="G11" s="6" t="n">
        <v>50</v>
      </c>
      <c r="H11" s="6" t="n">
        <v>65</v>
      </c>
      <c r="I11" s="6" t="n">
        <v>80</v>
      </c>
      <c r="J11" s="9" t="n"/>
    </row>
    <row r="12">
      <c r="A12" s="8" t="inlineStr">
        <is>
          <t>UK Parachute Regiment (P Coy)</t>
        </is>
      </c>
      <c r="B12" s="5" t="inlineStr">
        <is>
          <t>running</t>
        </is>
      </c>
      <c r="C12" s="5" t="inlineStr">
        <is>
          <t>1.5-mile run</t>
        </is>
      </c>
      <c r="D12" s="6" t="inlineStr">
        <is>
          <t>sec</t>
        </is>
      </c>
      <c r="E12" s="5" t="inlineStr">
        <is>
          <t>lower-is-better</t>
        </is>
      </c>
      <c r="F12" s="6" t="inlineStr">
        <is>
          <t>10:00</t>
        </is>
      </c>
      <c r="G12" s="6" t="inlineStr">
        <is>
          <t>9:30</t>
        </is>
      </c>
      <c r="H12" s="6" t="inlineStr">
        <is>
          <t>8:40</t>
        </is>
      </c>
      <c r="I12" s="6" t="inlineStr">
        <is>
          <t>8:00</t>
        </is>
      </c>
      <c r="J12" s="9" t="n"/>
    </row>
    <row r="13">
      <c r="A13" s="8" t="inlineStr">
        <is>
          <t>UK Parachute Regiment (P Coy)</t>
        </is>
      </c>
      <c r="B13" s="5" t="inlineStr">
        <is>
          <t>rucking</t>
        </is>
      </c>
      <c r="C13" s="5" t="inlineStr">
        <is>
          <t>10-mile ruck</t>
        </is>
      </c>
      <c r="D13" s="6" t="inlineStr">
        <is>
          <t>sec</t>
        </is>
      </c>
      <c r="E13" s="5" t="inlineStr">
        <is>
          <t>lower-is-better</t>
        </is>
      </c>
      <c r="F13" s="6" t="inlineStr">
        <is>
          <t>1:50</t>
        </is>
      </c>
      <c r="G13" s="6" t="inlineStr">
        <is>
          <t>1:45</t>
        </is>
      </c>
      <c r="H13" s="6" t="inlineStr">
        <is>
          <t>1:40</t>
        </is>
      </c>
      <c r="I13" s="17" t="n">
        <v>0.06597222222222222</v>
      </c>
      <c r="J13" s="9" t="n"/>
    </row>
    <row r="14">
      <c r="A14" s="8" t="inlineStr">
        <is>
          <t>UK Parachute Regiment (P Coy)</t>
        </is>
      </c>
      <c r="B14" s="5" t="inlineStr">
        <is>
          <t>stability</t>
        </is>
      </c>
      <c r="C14" s="5" t="inlineStr">
        <is>
          <t>Plank (front)</t>
        </is>
      </c>
      <c r="D14" s="6" t="inlineStr">
        <is>
          <t>sec</t>
        </is>
      </c>
      <c r="E14" s="5" t="inlineStr">
        <is>
          <t>higher-is-better</t>
        </is>
      </c>
      <c r="F14" s="6" t="inlineStr">
        <is>
          <t>1:30</t>
        </is>
      </c>
      <c r="G14" s="6" t="inlineStr">
        <is>
          <t>2:30</t>
        </is>
      </c>
      <c r="H14" s="6" t="inlineStr">
        <is>
          <t>3:30</t>
        </is>
      </c>
      <c r="I14" s="6" t="inlineStr">
        <is>
          <t>4:30</t>
        </is>
      </c>
      <c r="J14" s="9" t="n"/>
    </row>
    <row r="15">
      <c r="A15" s="8" t="inlineStr">
        <is>
          <t>UK Parachute Regiment (P Coy)</t>
        </is>
      </c>
      <c r="B15" s="5" t="inlineStr">
        <is>
          <t>stability</t>
        </is>
      </c>
      <c r="C15" s="5" t="inlineStr">
        <is>
          <t>Side plank (per side)</t>
        </is>
      </c>
      <c r="D15" s="6" t="inlineStr">
        <is>
          <t>sec</t>
        </is>
      </c>
      <c r="E15" s="5" t="inlineStr">
        <is>
          <t>higher-is-better</t>
        </is>
      </c>
      <c r="F15" s="6" t="inlineStr">
        <is>
          <t>1:00</t>
        </is>
      </c>
      <c r="G15" s="6" t="inlineStr">
        <is>
          <t>1:30</t>
        </is>
      </c>
      <c r="H15" s="6" t="inlineStr">
        <is>
          <t>2:00</t>
        </is>
      </c>
      <c r="I15" s="6" t="inlineStr">
        <is>
          <t>3:00</t>
        </is>
      </c>
      <c r="J15" s="9" t="n"/>
    </row>
    <row r="16">
      <c r="A16" s="8" t="inlineStr">
        <is>
          <t>UK Royal Marines (Cdo Course)</t>
        </is>
      </c>
      <c r="B16" s="5" t="inlineStr">
        <is>
          <t>lower_strength</t>
        </is>
      </c>
      <c r="C16" s="5" t="inlineStr">
        <is>
          <t>Back Squat</t>
        </is>
      </c>
      <c r="D16" s="6" t="inlineStr">
        <is>
          <t>kg</t>
        </is>
      </c>
      <c r="E16" s="5" t="inlineStr">
        <is>
          <t>higher-is-better</t>
        </is>
      </c>
      <c r="F16" s="6">
        <f>IFERROR(VLOOKUP("UK Royal Marines (Cdo Course)",'Strength by pathway'!$A:$AG,2,FALSE),"—")</f>
        <v/>
      </c>
      <c r="G16" s="6">
        <f>IFERROR(VLOOKUP("UK Royal Marines (Cdo Course)",'Strength by pathway'!$A:$AG,3,FALSE),"—")</f>
        <v/>
      </c>
      <c r="H16" s="6">
        <f>IFERROR(VLOOKUP("UK Royal Marines (Cdo Course)",'Strength by pathway'!$A:$AG,4,FALSE),"—")</f>
        <v/>
      </c>
      <c r="I16" s="6">
        <f>IFERROR(VLOOKUP("UK Royal Marines (Cdo Course)",'Strength by pathway'!$A:$AG,5,FALSE),"—")</f>
        <v/>
      </c>
      <c r="J16" s="9" t="n"/>
      <c r="K16" t="inlineStr">
        <is>
          <t>synced 2026-05-21 from benchmark_tests.ts</t>
        </is>
      </c>
    </row>
    <row r="17">
      <c r="A17" s="8" t="inlineStr">
        <is>
          <t>UK Royal Marines (Cdo Course)</t>
        </is>
      </c>
      <c r="B17" s="5" t="inlineStr">
        <is>
          <t>lower_strength</t>
        </is>
      </c>
      <c r="C17" s="5" t="inlineStr">
        <is>
          <t>Hex-bar DL</t>
        </is>
      </c>
      <c r="D17" s="6" t="inlineStr">
        <is>
          <t>kg</t>
        </is>
      </c>
      <c r="E17" s="5" t="inlineStr">
        <is>
          <t>higher-is-better</t>
        </is>
      </c>
      <c r="F17" s="6">
        <f>IFERROR(VLOOKUP("UK Royal Marines (Cdo Course)",'Strength by pathway'!$A:$AG,6,FALSE),"—")</f>
        <v/>
      </c>
      <c r="G17" s="6">
        <f>IFERROR(VLOOKUP("UK Royal Marines (Cdo Course)",'Strength by pathway'!$A:$AG,7,FALSE),"—")</f>
        <v/>
      </c>
      <c r="H17" s="6">
        <f>IFERROR(VLOOKUP("UK Royal Marines (Cdo Course)",'Strength by pathway'!$A:$AG,8,FALSE),"—")</f>
        <v/>
      </c>
      <c r="I17" s="6">
        <f>IFERROR(VLOOKUP("UK Royal Marines (Cdo Course)",'Strength by pathway'!$A:$AG,9,FALSE),"—")</f>
        <v/>
      </c>
      <c r="J17" s="9" t="n"/>
    </row>
    <row r="18">
      <c r="A18" s="8" t="inlineStr">
        <is>
          <t>UK Royal Marines (Cdo Course)</t>
        </is>
      </c>
      <c r="B18" s="5" t="inlineStr">
        <is>
          <t>lower_strength</t>
        </is>
      </c>
      <c r="C18" s="5" t="inlineStr">
        <is>
          <t>Conventional DL</t>
        </is>
      </c>
      <c r="D18" s="6" t="inlineStr">
        <is>
          <t>kg</t>
        </is>
      </c>
      <c r="E18" s="5" t="inlineStr">
        <is>
          <t>higher-is-better</t>
        </is>
      </c>
      <c r="F18" s="6">
        <f>IFERROR(VLOOKUP("UK Royal Marines (Cdo Course)",'Strength by pathway'!$A:$AG,10,FALSE),"—")</f>
        <v/>
      </c>
      <c r="G18" s="6">
        <f>IFERROR(VLOOKUP("UK Royal Marines (Cdo Course)",'Strength by pathway'!$A:$AG,11,FALSE),"—")</f>
        <v/>
      </c>
      <c r="H18" s="6">
        <f>IFERROR(VLOOKUP("UK Royal Marines (Cdo Course)",'Strength by pathway'!$A:$AG,12,FALSE),"—")</f>
        <v/>
      </c>
      <c r="I18" s="6">
        <f>IFERROR(VLOOKUP("UK Royal Marines (Cdo Course)",'Strength by pathway'!$A:$AG,13,FALSE),"—")</f>
        <v/>
      </c>
      <c r="J18" s="9" t="n"/>
    </row>
    <row r="19">
      <c r="A19" s="8" t="inlineStr">
        <is>
          <t>UK Royal Marines (Cdo Course)</t>
        </is>
      </c>
      <c r="B19" s="5" t="inlineStr">
        <is>
          <t>upper_strength</t>
        </is>
      </c>
      <c r="C19" s="5" t="inlineStr">
        <is>
          <t>Bench Press</t>
        </is>
      </c>
      <c r="D19" s="6" t="inlineStr">
        <is>
          <t>kg</t>
        </is>
      </c>
      <c r="E19" s="5" t="inlineStr">
        <is>
          <t>higher-is-better</t>
        </is>
      </c>
      <c r="F19" s="6">
        <f>IFERROR(VLOOKUP("UK Royal Marines (Cdo Course)",'Strength by pathway'!$A:$AG,14,FALSE),"—")</f>
        <v/>
      </c>
      <c r="G19" s="6">
        <f>IFERROR(VLOOKUP("UK Royal Marines (Cdo Course)",'Strength by pathway'!$A:$AG,15,FALSE),"—")</f>
        <v/>
      </c>
      <c r="H19" s="6">
        <f>IFERROR(VLOOKUP("UK Royal Marines (Cdo Course)",'Strength by pathway'!$A:$AG,16,FALSE),"—")</f>
        <v/>
      </c>
      <c r="I19" s="6">
        <f>IFERROR(VLOOKUP("UK Royal Marines (Cdo Course)",'Strength by pathway'!$A:$AG,17,FALSE),"—")</f>
        <v/>
      </c>
      <c r="J19" s="9" t="n"/>
    </row>
    <row r="20">
      <c r="A20" s="8" t="inlineStr">
        <is>
          <t>UK Royal Marines (Cdo Course)</t>
        </is>
      </c>
      <c r="B20" s="5" t="inlineStr">
        <is>
          <t>power</t>
        </is>
      </c>
      <c r="C20" s="5" t="inlineStr">
        <is>
          <t>Power Clean</t>
        </is>
      </c>
      <c r="D20" s="6" t="inlineStr">
        <is>
          <t>kg</t>
        </is>
      </c>
      <c r="E20" s="5" t="inlineStr">
        <is>
          <t>higher-is-better</t>
        </is>
      </c>
      <c r="F20" s="6">
        <f>IFERROR(VLOOKUP("UK Royal Marines (Cdo Course)",'Strength by pathway'!$A:$AG,22,FALSE),"—")</f>
        <v/>
      </c>
      <c r="G20" s="6">
        <f>IFERROR(VLOOKUP("UK Royal Marines (Cdo Course)",'Strength by pathway'!$A:$AG,23,FALSE),"—")</f>
        <v/>
      </c>
      <c r="H20" s="6">
        <f>IFERROR(VLOOKUP("UK Royal Marines (Cdo Course)",'Strength by pathway'!$A:$AG,24,FALSE),"—")</f>
        <v/>
      </c>
      <c r="I20" s="6">
        <f>IFERROR(VLOOKUP("UK Royal Marines (Cdo Course)",'Strength by pathway'!$A:$AG,25,FALSE),"—")</f>
        <v/>
      </c>
      <c r="J20" s="9" t="n"/>
    </row>
    <row r="21">
      <c r="A21" s="8" t="inlineStr">
        <is>
          <t>UK Royal Marines (Cdo Course)</t>
        </is>
      </c>
      <c r="B21" s="5" t="inlineStr">
        <is>
          <t>power</t>
        </is>
      </c>
      <c r="C21" s="5" t="inlineStr">
        <is>
          <t>Broad Jump</t>
        </is>
      </c>
      <c r="D21" s="6" t="inlineStr">
        <is>
          <t>m</t>
        </is>
      </c>
      <c r="E21" s="5" t="inlineStr">
        <is>
          <t>higher-is-better</t>
        </is>
      </c>
      <c r="F21" s="6">
        <f>IFERROR(VLOOKUP("UK Royal Marines (Cdo Course)",'Strength by pathway'!$A:$AG,26,FALSE),"—")</f>
        <v/>
      </c>
      <c r="G21" s="6">
        <f>IFERROR(VLOOKUP("UK Royal Marines (Cdo Course)",'Strength by pathway'!$A:$AG,27,FALSE),"—")</f>
        <v/>
      </c>
      <c r="H21" s="6">
        <f>IFERROR(VLOOKUP("UK Royal Marines (Cdo Course)",'Strength by pathway'!$A:$AG,28,FALSE),"—")</f>
        <v/>
      </c>
      <c r="I21" s="6">
        <f>IFERROR(VLOOKUP("UK Royal Marines (Cdo Course)",'Strength by pathway'!$A:$AG,29,FALSE),"—")</f>
        <v/>
      </c>
      <c r="J21" s="9" t="n"/>
    </row>
    <row r="22">
      <c r="A22" s="8" t="inlineStr">
        <is>
          <t>UK Royal Marines (Cdo Course)</t>
        </is>
      </c>
      <c r="B22" s="5" t="inlineStr">
        <is>
          <t>grip</t>
        </is>
      </c>
      <c r="C22" s="5" t="inlineStr">
        <is>
          <t>Dead hang (grip)</t>
        </is>
      </c>
      <c r="D22" s="6" t="inlineStr">
        <is>
          <t>sec</t>
        </is>
      </c>
      <c r="E22" s="5" t="inlineStr">
        <is>
          <t>higher-is-better</t>
        </is>
      </c>
      <c r="F22" s="6">
        <f>IFERROR(VLOOKUP("UK Royal Marines (Cdo Course)",'Strength by pathway'!$A:$AG,30,FALSE),"—")</f>
        <v/>
      </c>
      <c r="G22" s="6">
        <f>IFERROR(VLOOKUP("UK Royal Marines (Cdo Course)",'Strength by pathway'!$A:$AG,31,FALSE),"—")</f>
        <v/>
      </c>
      <c r="H22" s="6">
        <f>IFERROR(VLOOKUP("UK Royal Marines (Cdo Course)",'Strength by pathway'!$A:$AG,32,FALSE),"—")</f>
        <v/>
      </c>
      <c r="I22" s="6">
        <f>IFERROR(VLOOKUP("UK Royal Marines (Cdo Course)",'Strength by pathway'!$A:$AG,33,FALSE),"—")</f>
        <v/>
      </c>
      <c r="J22" s="9" t="n"/>
    </row>
    <row r="23">
      <c r="A23" s="8" t="inlineStr">
        <is>
          <t>UK Royal Marines (Cdo Course)</t>
        </is>
      </c>
      <c r="B23" s="5" t="inlineStr">
        <is>
          <t>upper_endurance</t>
        </is>
      </c>
      <c r="C23" s="5" t="inlineStr">
        <is>
          <t>Pull-ups (no time)</t>
        </is>
      </c>
      <c r="D23" s="6" t="inlineStr">
        <is>
          <t>reps</t>
        </is>
      </c>
      <c r="E23" s="5" t="inlineStr">
        <is>
          <t>higher-is-better</t>
        </is>
      </c>
      <c r="F23" s="6" t="n">
        <v>8</v>
      </c>
      <c r="G23" s="6" t="n">
        <v>13</v>
      </c>
      <c r="H23" s="6" t="n">
        <v>18</v>
      </c>
      <c r="I23" s="6" t="n">
        <v>22</v>
      </c>
      <c r="J23" s="9" t="n"/>
    </row>
    <row r="24">
      <c r="A24" s="8" t="inlineStr">
        <is>
          <t>UK Royal Marines (Cdo Course)</t>
        </is>
      </c>
      <c r="B24" s="5" t="inlineStr">
        <is>
          <t>upper_endurance</t>
        </is>
      </c>
      <c r="C24" s="5" t="inlineStr">
        <is>
          <t>Push-ups (2 min)</t>
        </is>
      </c>
      <c r="D24" s="6" t="inlineStr">
        <is>
          <t>reps</t>
        </is>
      </c>
      <c r="E24" s="5" t="inlineStr">
        <is>
          <t>higher-is-better</t>
        </is>
      </c>
      <c r="F24" s="6" t="n">
        <v>50</v>
      </c>
      <c r="G24" s="6" t="n">
        <v>65</v>
      </c>
      <c r="H24" s="6" t="n">
        <v>80</v>
      </c>
      <c r="I24" s="6" t="n">
        <v>100</v>
      </c>
      <c r="J24" s="9" t="n"/>
    </row>
    <row r="25">
      <c r="A25" s="8" t="inlineStr">
        <is>
          <t>UK Royal Marines (Cdo Course)</t>
        </is>
      </c>
      <c r="B25" s="5" t="inlineStr">
        <is>
          <t>core_endurance</t>
        </is>
      </c>
      <c r="C25" s="5" t="inlineStr">
        <is>
          <t>Sit-ups (2 min)</t>
        </is>
      </c>
      <c r="D25" s="6" t="inlineStr">
        <is>
          <t>reps</t>
        </is>
      </c>
      <c r="E25" s="5" t="inlineStr">
        <is>
          <t>higher-is-better</t>
        </is>
      </c>
      <c r="F25" s="6" t="n">
        <v>50</v>
      </c>
      <c r="G25" s="6" t="n">
        <v>75</v>
      </c>
      <c r="H25" s="6" t="n">
        <v>90</v>
      </c>
      <c r="I25" s="6" t="n">
        <v>110</v>
      </c>
      <c r="J25" s="9" t="n"/>
    </row>
    <row r="26">
      <c r="A26" s="8" t="inlineStr">
        <is>
          <t>UK Royal Marines (Cdo Course)</t>
        </is>
      </c>
      <c r="B26" s="5" t="inlineStr">
        <is>
          <t>running</t>
        </is>
      </c>
      <c r="C26" s="5" t="inlineStr">
        <is>
          <t>1.5-mile run</t>
        </is>
      </c>
      <c r="D26" s="6" t="inlineStr">
        <is>
          <t>sec</t>
        </is>
      </c>
      <c r="E26" s="5" t="inlineStr">
        <is>
          <t>lower-is-better</t>
        </is>
      </c>
      <c r="F26" s="6" t="inlineStr">
        <is>
          <t>10:30</t>
        </is>
      </c>
      <c r="G26" s="6" t="inlineStr">
        <is>
          <t>9:30</t>
        </is>
      </c>
      <c r="H26" s="6" t="inlineStr">
        <is>
          <t>9:00</t>
        </is>
      </c>
      <c r="I26" s="6" t="inlineStr">
        <is>
          <t>8:30</t>
        </is>
      </c>
      <c r="J26" s="9" t="n"/>
    </row>
    <row r="27">
      <c r="A27" s="8" t="inlineStr">
        <is>
          <t>UK Royal Marines (Cdo Course)</t>
        </is>
      </c>
      <c r="B27" s="5" t="inlineStr">
        <is>
          <t>rucking</t>
        </is>
      </c>
      <c r="C27" s="5" t="inlineStr">
        <is>
          <t>30-mile ruck</t>
        </is>
      </c>
      <c r="D27" s="6" t="inlineStr">
        <is>
          <t>sec</t>
        </is>
      </c>
      <c r="E27" s="5" t="inlineStr">
        <is>
          <t>lower-is-better</t>
        </is>
      </c>
      <c r="F27" s="6" t="inlineStr">
        <is>
          <t>8:00</t>
        </is>
      </c>
      <c r="G27" s="6" t="inlineStr">
        <is>
          <t>7:30</t>
        </is>
      </c>
      <c r="H27" s="6" t="inlineStr">
        <is>
          <t>7:00</t>
        </is>
      </c>
      <c r="I27" s="6" t="inlineStr">
        <is>
          <t>6:30</t>
        </is>
      </c>
      <c r="J27" s="9" t="n"/>
    </row>
    <row r="28">
      <c r="A28" s="8" t="inlineStr">
        <is>
          <t>UK Royal Marines (Cdo Course)</t>
        </is>
      </c>
      <c r="B28" s="5" t="inlineStr">
        <is>
          <t>stability</t>
        </is>
      </c>
      <c r="C28" s="5" t="inlineStr">
        <is>
          <t>Plank (front)</t>
        </is>
      </c>
      <c r="D28" s="6" t="inlineStr">
        <is>
          <t>sec</t>
        </is>
      </c>
      <c r="E28" s="5" t="inlineStr">
        <is>
          <t>higher-is-better</t>
        </is>
      </c>
      <c r="F28" s="6" t="inlineStr">
        <is>
          <t>1:30</t>
        </is>
      </c>
      <c r="G28" s="6" t="inlineStr">
        <is>
          <t>2:30</t>
        </is>
      </c>
      <c r="H28" s="6" t="inlineStr">
        <is>
          <t>3:30</t>
        </is>
      </c>
      <c r="I28" s="6" t="inlineStr">
        <is>
          <t>4:30</t>
        </is>
      </c>
      <c r="J28" s="9" t="n"/>
    </row>
    <row r="29">
      <c r="A29" s="8" t="inlineStr">
        <is>
          <t>UK Royal Marines (Cdo Course)</t>
        </is>
      </c>
      <c r="B29" s="5" t="inlineStr">
        <is>
          <t>stability</t>
        </is>
      </c>
      <c r="C29" s="5" t="inlineStr">
        <is>
          <t>Side plank (per side)</t>
        </is>
      </c>
      <c r="D29" s="6" t="inlineStr">
        <is>
          <t>sec</t>
        </is>
      </c>
      <c r="E29" s="5" t="inlineStr">
        <is>
          <t>higher-is-better</t>
        </is>
      </c>
      <c r="F29" s="6" t="inlineStr">
        <is>
          <t>1:00</t>
        </is>
      </c>
      <c r="G29" s="6" t="inlineStr">
        <is>
          <t>1:30</t>
        </is>
      </c>
      <c r="H29" s="6" t="inlineStr">
        <is>
          <t>2:00</t>
        </is>
      </c>
      <c r="I29" s="6" t="inlineStr">
        <is>
          <t>3:00</t>
        </is>
      </c>
      <c r="J29" s="9" t="n"/>
    </row>
    <row r="30" hidden="1">
      <c r="A30" s="8" t="inlineStr">
        <is>
          <t>US Marine Corps (PFT/CFT)</t>
        </is>
      </c>
      <c r="B30" s="5" t="inlineStr">
        <is>
          <t>lower_strength</t>
        </is>
      </c>
      <c r="C30" s="5" t="inlineStr">
        <is>
          <t>Back Squat</t>
        </is>
      </c>
      <c r="D30" s="6" t="inlineStr">
        <is>
          <t>kg</t>
        </is>
      </c>
      <c r="E30" s="5" t="inlineStr">
        <is>
          <t>higher-is-better</t>
        </is>
      </c>
      <c r="F30" s="6">
        <f>IFERROR(VLOOKUP("US Marine Corps (PFT/CFT)",'Strength by pathway'!$A:$AG,2,FALSE),"—")</f>
        <v/>
      </c>
      <c r="G30" s="6">
        <f>IFERROR(VLOOKUP("US Marine Corps (PFT/CFT)",'Strength by pathway'!$A:$AG,3,FALSE),"—")</f>
        <v/>
      </c>
      <c r="H30" s="6">
        <f>IFERROR(VLOOKUP("US Marine Corps (PFT/CFT)",'Strength by pathway'!$A:$AG,4,FALSE),"—")</f>
        <v/>
      </c>
      <c r="I30" s="6">
        <f>IFERROR(VLOOKUP("US Marine Corps (PFT/CFT)",'Strength by pathway'!$A:$AG,5,FALSE),"—")</f>
        <v/>
      </c>
      <c r="J30" s="9" t="inlineStr">
        <is>
          <t>Reverted — USMC ≠ RM-Cdo pattern; marines treated as separate role (2026-05-11)</t>
        </is>
      </c>
      <c r="K30" t="inlineStr">
        <is>
          <t>synced 2026-05-21 from benchmark_tests.ts</t>
        </is>
      </c>
    </row>
    <row r="31" hidden="1">
      <c r="A31" s="8" t="inlineStr">
        <is>
          <t>US Marine Corps (PFT/CFT)</t>
        </is>
      </c>
      <c r="B31" s="5" t="inlineStr">
        <is>
          <t>lower_strength</t>
        </is>
      </c>
      <c r="C31" s="5" t="inlineStr">
        <is>
          <t>Hex-bar DL</t>
        </is>
      </c>
      <c r="D31" s="6" t="inlineStr">
        <is>
          <t>kg</t>
        </is>
      </c>
      <c r="E31" s="5" t="inlineStr">
        <is>
          <t>higher-is-better</t>
        </is>
      </c>
      <c r="F31" s="6">
        <f>IFERROR(VLOOKUP("US Marine Corps (PFT/CFT)",'Strength by pathway'!$A:$AG,6,FALSE),"—")</f>
        <v/>
      </c>
      <c r="G31" s="6">
        <f>IFERROR(VLOOKUP("US Marine Corps (PFT/CFT)",'Strength by pathway'!$A:$AG,7,FALSE),"—")</f>
        <v/>
      </c>
      <c r="H31" s="6">
        <f>IFERROR(VLOOKUP("US Marine Corps (PFT/CFT)",'Strength by pathway'!$A:$AG,8,FALSE),"—")</f>
        <v/>
      </c>
      <c r="I31" s="6">
        <f>IFERROR(VLOOKUP("US Marine Corps (PFT/CFT)",'Strength by pathway'!$A:$AG,9,FALSE),"—")</f>
        <v/>
      </c>
      <c r="J31" s="9" t="inlineStr">
        <is>
          <t>Reverted — USMC ≠ RM-Cdo pattern; marines treated as separate role (2026-05-11)</t>
        </is>
      </c>
    </row>
    <row r="32" hidden="1">
      <c r="A32" s="8" t="inlineStr">
        <is>
          <t>US Marine Corps (PFT/CFT)</t>
        </is>
      </c>
      <c r="B32" s="5" t="inlineStr">
        <is>
          <t>lower_strength</t>
        </is>
      </c>
      <c r="C32" s="5" t="inlineStr">
        <is>
          <t>Conventional DL</t>
        </is>
      </c>
      <c r="D32" s="6" t="inlineStr">
        <is>
          <t>kg</t>
        </is>
      </c>
      <c r="E32" s="5" t="inlineStr">
        <is>
          <t>higher-is-better</t>
        </is>
      </c>
      <c r="F32" s="6">
        <f>IFERROR(VLOOKUP("US Marine Corps (PFT/CFT)",'Strength by pathway'!$A:$AG,10,FALSE),"—")</f>
        <v/>
      </c>
      <c r="G32" s="6">
        <f>IFERROR(VLOOKUP("US Marine Corps (PFT/CFT)",'Strength by pathway'!$A:$AG,11,FALSE),"—")</f>
        <v/>
      </c>
      <c r="H32" s="6">
        <f>IFERROR(VLOOKUP("US Marine Corps (PFT/CFT)",'Strength by pathway'!$A:$AG,12,FALSE),"—")</f>
        <v/>
      </c>
      <c r="I32" s="6">
        <f>IFERROR(VLOOKUP("US Marine Corps (PFT/CFT)",'Strength by pathway'!$A:$AG,13,FALSE),"—")</f>
        <v/>
      </c>
      <c r="J32" s="9" t="inlineStr">
        <is>
          <t>Reverted — USMC ≠ RM-Cdo pattern; marines treated as separate role (2026-05-11)</t>
        </is>
      </c>
    </row>
    <row r="33" hidden="1">
      <c r="A33" s="8" t="inlineStr">
        <is>
          <t>US Marine Corps (PFT/CFT)</t>
        </is>
      </c>
      <c r="B33" s="5" t="inlineStr">
        <is>
          <t>upper_strength</t>
        </is>
      </c>
      <c r="C33" s="5" t="inlineStr">
        <is>
          <t>Bench Press</t>
        </is>
      </c>
      <c r="D33" s="6" t="inlineStr">
        <is>
          <t>kg</t>
        </is>
      </c>
      <c r="E33" s="5" t="inlineStr">
        <is>
          <t>higher-is-better</t>
        </is>
      </c>
      <c r="F33" s="6">
        <f>IFERROR(VLOOKUP("US Marine Corps (PFT/CFT)",'Strength by pathway'!$A:$AG,14,FALSE),"—")</f>
        <v/>
      </c>
      <c r="G33" s="6">
        <f>IFERROR(VLOOKUP("US Marine Corps (PFT/CFT)",'Strength by pathway'!$A:$AG,15,FALSE),"—")</f>
        <v/>
      </c>
      <c r="H33" s="6">
        <f>IFERROR(VLOOKUP("US Marine Corps (PFT/CFT)",'Strength by pathway'!$A:$AG,16,FALSE),"—")</f>
        <v/>
      </c>
      <c r="I33" s="6">
        <f>IFERROR(VLOOKUP("US Marine Corps (PFT/CFT)",'Strength by pathway'!$A:$AG,17,FALSE),"—")</f>
        <v/>
      </c>
      <c r="J33" s="9" t="inlineStr">
        <is>
          <t>Reverted — USMC ≠ RM-Cdo pattern; marines treated as separate role (2026-05-11)</t>
        </is>
      </c>
    </row>
    <row r="34" hidden="1">
      <c r="A34" s="8" t="inlineStr">
        <is>
          <t>US Marine Corps (PFT/CFT)</t>
        </is>
      </c>
      <c r="B34" s="5" t="inlineStr">
        <is>
          <t>power</t>
        </is>
      </c>
      <c r="C34" s="5" t="inlineStr">
        <is>
          <t>Power Clean</t>
        </is>
      </c>
      <c r="D34" s="6" t="inlineStr">
        <is>
          <t>kg</t>
        </is>
      </c>
      <c r="E34" s="5" t="inlineStr">
        <is>
          <t>higher-is-better</t>
        </is>
      </c>
      <c r="F34" s="6">
        <f>IFERROR(VLOOKUP("US Marine Corps (PFT/CFT)",'Strength by pathway'!$A:$AG,22,FALSE),"—")</f>
        <v/>
      </c>
      <c r="G34" s="6">
        <f>IFERROR(VLOOKUP("US Marine Corps (PFT/CFT)",'Strength by pathway'!$A:$AG,23,FALSE),"—")</f>
        <v/>
      </c>
      <c r="H34" s="6">
        <f>IFERROR(VLOOKUP("US Marine Corps (PFT/CFT)",'Strength by pathway'!$A:$AG,24,FALSE),"—")</f>
        <v/>
      </c>
      <c r="I34" s="6">
        <f>IFERROR(VLOOKUP("US Marine Corps (PFT/CFT)",'Strength by pathway'!$A:$AG,25,FALSE),"—")</f>
        <v/>
      </c>
      <c r="J34" s="9" t="inlineStr">
        <is>
          <t>Reverted — USMC ≠ RM-Cdo pattern; marines treated as separate role (2026-05-11)</t>
        </is>
      </c>
    </row>
    <row r="35" hidden="1">
      <c r="A35" s="8" t="inlineStr">
        <is>
          <t>US Marine Corps (PFT/CFT)</t>
        </is>
      </c>
      <c r="B35" s="5" t="inlineStr">
        <is>
          <t>power</t>
        </is>
      </c>
      <c r="C35" s="5" t="inlineStr">
        <is>
          <t>Broad Jump</t>
        </is>
      </c>
      <c r="D35" s="6" t="inlineStr">
        <is>
          <t>m</t>
        </is>
      </c>
      <c r="E35" s="5" t="inlineStr">
        <is>
          <t>higher-is-better</t>
        </is>
      </c>
      <c r="F35" s="6">
        <f>IFERROR(VLOOKUP("US Marine Corps (PFT/CFT)",'Strength by pathway'!$A:$AG,26,FALSE),"—")</f>
        <v/>
      </c>
      <c r="G35" s="6">
        <f>IFERROR(VLOOKUP("US Marine Corps (PFT/CFT)",'Strength by pathway'!$A:$AG,27,FALSE),"—")</f>
        <v/>
      </c>
      <c r="H35" s="6">
        <f>IFERROR(VLOOKUP("US Marine Corps (PFT/CFT)",'Strength by pathway'!$A:$AG,28,FALSE),"—")</f>
        <v/>
      </c>
      <c r="I35" s="6">
        <f>IFERROR(VLOOKUP("US Marine Corps (PFT/CFT)",'Strength by pathway'!$A:$AG,29,FALSE),"—")</f>
        <v/>
      </c>
      <c r="J35" s="9" t="inlineStr">
        <is>
          <t>Auto-adjusted from user patterns (2026-05-11)</t>
        </is>
      </c>
    </row>
    <row r="36" hidden="1">
      <c r="A36" s="8" t="inlineStr">
        <is>
          <t>US Marine Corps (PFT/CFT)</t>
        </is>
      </c>
      <c r="B36" s="5" t="inlineStr">
        <is>
          <t>grip</t>
        </is>
      </c>
      <c r="C36" s="5" t="inlineStr">
        <is>
          <t>Dead hang (grip)</t>
        </is>
      </c>
      <c r="D36" s="6" t="inlineStr">
        <is>
          <t>sec</t>
        </is>
      </c>
      <c r="E36" s="5" t="inlineStr">
        <is>
          <t>higher-is-better</t>
        </is>
      </c>
      <c r="F36" s="6">
        <f>IFERROR(VLOOKUP("US Marine Corps (PFT/CFT)",'Strength by pathway'!$A:$AG,30,FALSE),"—")</f>
        <v/>
      </c>
      <c r="G36" s="6">
        <f>IFERROR(VLOOKUP("US Marine Corps (PFT/CFT)",'Strength by pathway'!$A:$AG,31,FALSE),"—")</f>
        <v/>
      </c>
      <c r="H36" s="6">
        <f>IFERROR(VLOOKUP("US Marine Corps (PFT/CFT)",'Strength by pathway'!$A:$AG,32,FALSE),"—")</f>
        <v/>
      </c>
      <c r="I36" s="6">
        <f>IFERROR(VLOOKUP("US Marine Corps (PFT/CFT)",'Strength by pathway'!$A:$AG,33,FALSE),"—")</f>
        <v/>
      </c>
      <c r="J36" s="9" t="inlineStr">
        <is>
          <t>Lowered below UK equivalent per role-bar framing (2026-05-11)</t>
        </is>
      </c>
    </row>
    <row r="37" hidden="1">
      <c r="A37" s="8" t="inlineStr">
        <is>
          <t>US Marine Corps (PFT/CFT)</t>
        </is>
      </c>
      <c r="B37" s="5" t="inlineStr">
        <is>
          <t>upper_endurance</t>
        </is>
      </c>
      <c r="C37" s="5" t="inlineStr">
        <is>
          <t>Pull-ups (no time)</t>
        </is>
      </c>
      <c r="D37" s="6" t="inlineStr">
        <is>
          <t>reps</t>
        </is>
      </c>
      <c r="E37" s="5" t="inlineStr">
        <is>
          <t>higher-is-better</t>
        </is>
      </c>
      <c r="F37" s="6" t="n">
        <v>3</v>
      </c>
      <c r="G37" s="6" t="n">
        <v>12</v>
      </c>
      <c r="H37" s="6" t="n">
        <v>23</v>
      </c>
      <c r="I37" s="6" t="n">
        <v>23</v>
      </c>
      <c r="J37" s="9" t="n"/>
    </row>
    <row r="38" hidden="1">
      <c r="A38" s="8" t="inlineStr">
        <is>
          <t>US Marine Corps (PFT/CFT)</t>
        </is>
      </c>
      <c r="B38" s="5" t="inlineStr">
        <is>
          <t>upper_endurance</t>
        </is>
      </c>
      <c r="C38" s="5" t="inlineStr">
        <is>
          <t>Push-ups (2 min)</t>
        </is>
      </c>
      <c r="D38" s="6" t="inlineStr">
        <is>
          <t>reps</t>
        </is>
      </c>
      <c r="E38" s="5" t="inlineStr">
        <is>
          <t>higher-is-better</t>
        </is>
      </c>
      <c r="F38" s="6" t="n">
        <v>42</v>
      </c>
      <c r="G38" s="6" t="n">
        <v>60</v>
      </c>
      <c r="H38" s="6" t="n">
        <v>87</v>
      </c>
      <c r="I38" s="6" t="n">
        <v>87</v>
      </c>
      <c r="J38" s="9" t="n"/>
    </row>
    <row r="39" hidden="1">
      <c r="A39" s="8" t="inlineStr">
        <is>
          <t>US Marine Corps (PFT/CFT)</t>
        </is>
      </c>
      <c r="B39" s="5" t="inlineStr">
        <is>
          <t>running</t>
        </is>
      </c>
      <c r="C39" s="5" t="inlineStr">
        <is>
          <t>3-mile run</t>
        </is>
      </c>
      <c r="D39" s="6" t="inlineStr">
        <is>
          <t>sec</t>
        </is>
      </c>
      <c r="E39" s="5" t="inlineStr">
        <is>
          <t>lower-is-better</t>
        </is>
      </c>
      <c r="F39" s="6" t="inlineStr">
        <is>
          <t>27:40</t>
        </is>
      </c>
      <c r="G39" s="6" t="inlineStr">
        <is>
          <t>21:00</t>
        </is>
      </c>
      <c r="H39" s="6" t="inlineStr">
        <is>
          <t>18:00</t>
        </is>
      </c>
      <c r="I39" s="6" t="inlineStr">
        <is>
          <t>18:00</t>
        </is>
      </c>
      <c r="J39" s="9" t="n"/>
    </row>
    <row r="40" hidden="1">
      <c r="A40" s="8" t="inlineStr">
        <is>
          <t>US Marine Corps (PFT/CFT)</t>
        </is>
      </c>
      <c r="B40" s="5" t="inlineStr">
        <is>
          <t>stability</t>
        </is>
      </c>
      <c r="C40" s="5" t="inlineStr">
        <is>
          <t>Plank (front)</t>
        </is>
      </c>
      <c r="D40" s="6" t="inlineStr">
        <is>
          <t>sec</t>
        </is>
      </c>
      <c r="E40" s="5" t="inlineStr">
        <is>
          <t>higher-is-better</t>
        </is>
      </c>
      <c r="F40" s="6" t="inlineStr">
        <is>
          <t>1:03</t>
        </is>
      </c>
      <c r="G40" s="6" t="inlineStr">
        <is>
          <t>3:00</t>
        </is>
      </c>
      <c r="H40" s="6" t="inlineStr">
        <is>
          <t>3:45</t>
        </is>
      </c>
      <c r="I40" s="6" t="inlineStr">
        <is>
          <t>3:45</t>
        </is>
      </c>
      <c r="J40" s="9" t="n"/>
    </row>
    <row r="41" hidden="1">
      <c r="A41" s="8" t="inlineStr">
        <is>
          <t>US Marine Corps (PFT/CFT)</t>
        </is>
      </c>
      <c r="B41" s="5" t="inlineStr">
        <is>
          <t>stability</t>
        </is>
      </c>
      <c r="C41" s="5" t="inlineStr">
        <is>
          <t>Side plank (per side)</t>
        </is>
      </c>
      <c r="D41" s="6" t="inlineStr">
        <is>
          <t>sec</t>
        </is>
      </c>
      <c r="E41" s="5" t="inlineStr">
        <is>
          <t>higher-is-better</t>
        </is>
      </c>
      <c r="F41" s="6" t="inlineStr">
        <is>
          <t>1:00</t>
        </is>
      </c>
      <c r="G41" s="6" t="inlineStr">
        <is>
          <t>1:30</t>
        </is>
      </c>
      <c r="H41" s="6" t="inlineStr">
        <is>
          <t>2:00</t>
        </is>
      </c>
      <c r="I41" s="6" t="inlineStr">
        <is>
          <t>3:00</t>
        </is>
      </c>
      <c r="J41" s="9" t="n"/>
    </row>
    <row r="42" hidden="1">
      <c r="A42" s="8" t="inlineStr">
        <is>
          <t>US Army Airborne</t>
        </is>
      </c>
      <c r="B42" s="5" t="inlineStr">
        <is>
          <t>lower_strength</t>
        </is>
      </c>
      <c r="C42" s="5" t="inlineStr">
        <is>
          <t>Back Squat</t>
        </is>
      </c>
      <c r="D42" s="6" t="inlineStr">
        <is>
          <t>kg</t>
        </is>
      </c>
      <c r="E42" s="5" t="inlineStr">
        <is>
          <t>higher-is-better</t>
        </is>
      </c>
      <c r="F42" s="6">
        <f>IFERROR(VLOOKUP("US Army Airborne",'Strength by pathway'!$A:$AG,2,FALSE),"—")</f>
        <v/>
      </c>
      <c r="G42" s="6">
        <f>IFERROR(VLOOKUP("US Army Airborne",'Strength by pathway'!$A:$AG,3,FALSE),"—")</f>
        <v/>
      </c>
      <c r="H42" s="6">
        <f>IFERROR(VLOOKUP("US Army Airborne",'Strength by pathway'!$A:$AG,4,FALSE),"—")</f>
        <v/>
      </c>
      <c r="I42" s="6">
        <f>IFERROR(VLOOKUP("US Army Airborne",'Strength by pathway'!$A:$AG,5,FALSE),"—")</f>
        <v/>
      </c>
      <c r="J42" s="9" t="inlineStr">
        <is>
          <t>Restored US strength ≥ UK equivalent (running separates them) — 2026-05-11</t>
        </is>
      </c>
      <c r="K42" t="inlineStr">
        <is>
          <t>synced 2026-05-21 from benchmark_tests.ts</t>
        </is>
      </c>
    </row>
    <row r="43" hidden="1">
      <c r="A43" s="8" t="inlineStr">
        <is>
          <t>US Army Airborne</t>
        </is>
      </c>
      <c r="B43" s="5" t="inlineStr">
        <is>
          <t>lower_strength</t>
        </is>
      </c>
      <c r="C43" s="5" t="inlineStr">
        <is>
          <t>Hex-bar DL</t>
        </is>
      </c>
      <c r="D43" s="6" t="inlineStr">
        <is>
          <t>kg</t>
        </is>
      </c>
      <c r="E43" s="5" t="inlineStr">
        <is>
          <t>higher-is-better</t>
        </is>
      </c>
      <c r="F43" s="6">
        <f>IFERROR(VLOOKUP("US Army Airborne",'Strength by pathway'!$A:$AG,6,FALSE),"—")</f>
        <v/>
      </c>
      <c r="G43" s="6">
        <f>IFERROR(VLOOKUP("US Army Airborne",'Strength by pathway'!$A:$AG,7,FALSE),"—")</f>
        <v/>
      </c>
      <c r="H43" s="6">
        <f>IFERROR(VLOOKUP("US Army Airborne",'Strength by pathway'!$A:$AG,8,FALSE),"—")</f>
        <v/>
      </c>
      <c r="I43" s="6">
        <f>IFERROR(VLOOKUP("US Army Airborne",'Strength by pathway'!$A:$AG,9,FALSE),"—")</f>
        <v/>
      </c>
      <c r="J43" s="9" t="inlineStr">
        <is>
          <t>Restored US strength ≥ UK equivalent (running separates them) — 2026-05-11</t>
        </is>
      </c>
    </row>
    <row r="44" hidden="1">
      <c r="A44" s="8" t="inlineStr">
        <is>
          <t>US Army Airborne</t>
        </is>
      </c>
      <c r="B44" s="5" t="inlineStr">
        <is>
          <t>lower_strength</t>
        </is>
      </c>
      <c r="C44" s="5" t="inlineStr">
        <is>
          <t>Conventional DL</t>
        </is>
      </c>
      <c r="D44" s="6" t="inlineStr">
        <is>
          <t>kg</t>
        </is>
      </c>
      <c r="E44" s="5" t="inlineStr">
        <is>
          <t>higher-is-better</t>
        </is>
      </c>
      <c r="F44" s="6">
        <f>IFERROR(VLOOKUP("US Army Airborne",'Strength by pathway'!$A:$AG,10,FALSE),"—")</f>
        <v/>
      </c>
      <c r="G44" s="6">
        <f>IFERROR(VLOOKUP("US Army Airborne",'Strength by pathway'!$A:$AG,11,FALSE),"—")</f>
        <v/>
      </c>
      <c r="H44" s="6">
        <f>IFERROR(VLOOKUP("US Army Airborne",'Strength by pathway'!$A:$AG,12,FALSE),"—")</f>
        <v/>
      </c>
      <c r="I44" s="6">
        <f>IFERROR(VLOOKUP("US Army Airborne",'Strength by pathway'!$A:$AG,13,FALSE),"—")</f>
        <v/>
      </c>
      <c r="J44" s="9" t="inlineStr">
        <is>
          <t>Restored US strength ≥ UK equivalent (running separates them) — 2026-05-11</t>
        </is>
      </c>
    </row>
    <row r="45" hidden="1">
      <c r="A45" s="8" t="inlineStr">
        <is>
          <t>US Army Airborne</t>
        </is>
      </c>
      <c r="B45" s="5" t="inlineStr">
        <is>
          <t>upper_strength</t>
        </is>
      </c>
      <c r="C45" s="5" t="inlineStr">
        <is>
          <t>Bench Press</t>
        </is>
      </c>
      <c r="D45" s="6" t="inlineStr">
        <is>
          <t>kg</t>
        </is>
      </c>
      <c r="E45" s="5" t="inlineStr">
        <is>
          <t>higher-is-better</t>
        </is>
      </c>
      <c r="F45" s="6">
        <f>IFERROR(VLOOKUP("US Army Airborne",'Strength by pathway'!$A:$AG,14,FALSE),"—")</f>
        <v/>
      </c>
      <c r="G45" s="6">
        <f>IFERROR(VLOOKUP("US Army Airborne",'Strength by pathway'!$A:$AG,15,FALSE),"—")</f>
        <v/>
      </c>
      <c r="H45" s="6">
        <f>IFERROR(VLOOKUP("US Army Airborne",'Strength by pathway'!$A:$AG,16,FALSE),"—")</f>
        <v/>
      </c>
      <c r="I45" s="6">
        <f>IFERROR(VLOOKUP("US Army Airborne",'Strength by pathway'!$A:$AG,17,FALSE),"—")</f>
        <v/>
      </c>
      <c r="J45" s="9" t="inlineStr">
        <is>
          <t>Restored US strength ≥ UK equivalent (running separates them) — 2026-05-11</t>
        </is>
      </c>
    </row>
    <row r="46" hidden="1">
      <c r="A46" s="8" t="inlineStr">
        <is>
          <t>US Army Airborne</t>
        </is>
      </c>
      <c r="B46" s="5" t="inlineStr">
        <is>
          <t>power</t>
        </is>
      </c>
      <c r="C46" s="5" t="inlineStr">
        <is>
          <t>Power Clean</t>
        </is>
      </c>
      <c r="D46" s="6" t="inlineStr">
        <is>
          <t>kg</t>
        </is>
      </c>
      <c r="E46" s="5" t="inlineStr">
        <is>
          <t>higher-is-better</t>
        </is>
      </c>
      <c r="F46" s="6">
        <f>IFERROR(VLOOKUP("US Army Airborne",'Strength by pathway'!$A:$AG,22,FALSE),"—")</f>
        <v/>
      </c>
      <c r="G46" s="6">
        <f>IFERROR(VLOOKUP("US Army Airborne",'Strength by pathway'!$A:$AG,23,FALSE),"—")</f>
        <v/>
      </c>
      <c r="H46" s="6">
        <f>IFERROR(VLOOKUP("US Army Airborne",'Strength by pathway'!$A:$AG,24,FALSE),"—")</f>
        <v/>
      </c>
      <c r="I46" s="6">
        <f>IFERROR(VLOOKUP("US Army Airborne",'Strength by pathway'!$A:$AG,25,FALSE),"—")</f>
        <v/>
      </c>
      <c r="J46" s="9" t="inlineStr">
        <is>
          <t>Restored US strength ≥ UK equivalent (running separates them) — 2026-05-11</t>
        </is>
      </c>
    </row>
    <row r="47" hidden="1">
      <c r="A47" s="8" t="inlineStr">
        <is>
          <t>US Army Airborne</t>
        </is>
      </c>
      <c r="B47" s="5" t="inlineStr">
        <is>
          <t>power</t>
        </is>
      </c>
      <c r="C47" s="5" t="inlineStr">
        <is>
          <t>Broad Jump</t>
        </is>
      </c>
      <c r="D47" s="6" t="inlineStr">
        <is>
          <t>m</t>
        </is>
      </c>
      <c r="E47" s="5" t="inlineStr">
        <is>
          <t>higher-is-better</t>
        </is>
      </c>
      <c r="F47" s="6">
        <f>IFERROR(VLOOKUP("US Army Airborne",'Strength by pathway'!$A:$AG,26,FALSE),"—")</f>
        <v/>
      </c>
      <c r="G47" s="6">
        <f>IFERROR(VLOOKUP("US Army Airborne",'Strength by pathway'!$A:$AG,27,FALSE),"—")</f>
        <v/>
      </c>
      <c r="H47" s="6">
        <f>IFERROR(VLOOKUP("US Army Airborne",'Strength by pathway'!$A:$AG,28,FALSE),"—")</f>
        <v/>
      </c>
      <c r="I47" s="6">
        <f>IFERROR(VLOOKUP("US Army Airborne",'Strength by pathway'!$A:$AG,29,FALSE),"—")</f>
        <v/>
      </c>
      <c r="J47" s="9" t="inlineStr">
        <is>
          <t>Auto-adjusted from user patterns (2026-05-11)</t>
        </is>
      </c>
    </row>
    <row r="48" hidden="1">
      <c r="A48" s="8" t="inlineStr">
        <is>
          <t>US Army Airborne</t>
        </is>
      </c>
      <c r="B48" s="5" t="inlineStr">
        <is>
          <t>grip</t>
        </is>
      </c>
      <c r="C48" s="5" t="inlineStr">
        <is>
          <t>Dead hang (grip)</t>
        </is>
      </c>
      <c r="D48" s="6" t="inlineStr">
        <is>
          <t>sec</t>
        </is>
      </c>
      <c r="E48" s="5" t="inlineStr">
        <is>
          <t>higher-is-better</t>
        </is>
      </c>
      <c r="F48" s="6">
        <f>IFERROR(VLOOKUP("US Army Airborne",'Strength by pathway'!$A:$AG,30,FALSE),"—")</f>
        <v/>
      </c>
      <c r="G48" s="6">
        <f>IFERROR(VLOOKUP("US Army Airborne",'Strength by pathway'!$A:$AG,31,FALSE),"—")</f>
        <v/>
      </c>
      <c r="H48" s="6">
        <f>IFERROR(VLOOKUP("US Army Airborne",'Strength by pathway'!$A:$AG,32,FALSE),"—")</f>
        <v/>
      </c>
      <c r="I48" s="6">
        <f>IFERROR(VLOOKUP("US Army Airborne",'Strength by pathway'!$A:$AG,33,FALSE),"—")</f>
        <v/>
      </c>
      <c r="J48" s="9" t="inlineStr">
        <is>
          <t>Lowered below UK equivalent per role-bar framing (2026-05-11)</t>
        </is>
      </c>
    </row>
    <row r="49" hidden="1">
      <c r="A49" s="8" t="inlineStr">
        <is>
          <t>US Army Airborne</t>
        </is>
      </c>
      <c r="B49" s="5" t="inlineStr">
        <is>
          <t>upper_endurance</t>
        </is>
      </c>
      <c r="C49" s="5" t="inlineStr">
        <is>
          <t>Pull-ups (no time)</t>
        </is>
      </c>
      <c r="D49" s="6" t="inlineStr">
        <is>
          <t>reps</t>
        </is>
      </c>
      <c r="E49" s="5" t="inlineStr">
        <is>
          <t>higher-is-better</t>
        </is>
      </c>
      <c r="F49" s="6" t="n">
        <v>6</v>
      </c>
      <c r="G49" s="6" t="n">
        <v>10</v>
      </c>
      <c r="H49" s="6" t="n">
        <v>15</v>
      </c>
      <c r="I49" s="6" t="n">
        <v>20</v>
      </c>
      <c r="J49" s="9" t="inlineStr">
        <is>
          <t>Auto-adjusted from user patterns (2026-05-11)</t>
        </is>
      </c>
    </row>
    <row r="50" hidden="1">
      <c r="A50" s="8" t="inlineStr">
        <is>
          <t>US Army Airborne</t>
        </is>
      </c>
      <c r="B50" s="5" t="inlineStr">
        <is>
          <t>upper_endurance</t>
        </is>
      </c>
      <c r="C50" s="5" t="inlineStr">
        <is>
          <t>Push-ups (2 min)</t>
        </is>
      </c>
      <c r="D50" s="6" t="inlineStr">
        <is>
          <t>reps</t>
        </is>
      </c>
      <c r="E50" s="5" t="inlineStr">
        <is>
          <t>higher-is-better</t>
        </is>
      </c>
      <c r="F50" s="6" t="n">
        <v>42</v>
      </c>
      <c r="G50" s="6" t="n">
        <v>60</v>
      </c>
      <c r="H50" s="6" t="n">
        <v>75</v>
      </c>
      <c r="I50" s="6" t="n">
        <v>95</v>
      </c>
      <c r="J50" s="9" t="n"/>
    </row>
    <row r="51" hidden="1">
      <c r="A51" s="8" t="inlineStr">
        <is>
          <t>US Army Airborne</t>
        </is>
      </c>
      <c r="B51" s="5" t="inlineStr">
        <is>
          <t>core_endurance</t>
        </is>
      </c>
      <c r="C51" s="5" t="inlineStr">
        <is>
          <t>Sit-ups (2 min)</t>
        </is>
      </c>
      <c r="D51" s="6" t="inlineStr">
        <is>
          <t>reps</t>
        </is>
      </c>
      <c r="E51" s="5" t="inlineStr">
        <is>
          <t>higher-is-better</t>
        </is>
      </c>
      <c r="F51" s="6" t="n">
        <v>53</v>
      </c>
      <c r="G51" s="6" t="n">
        <v>70</v>
      </c>
      <c r="H51" s="6" t="n">
        <v>85</v>
      </c>
      <c r="I51" s="6" t="n">
        <v>100</v>
      </c>
      <c r="J51" s="9" t="n"/>
    </row>
    <row r="52" hidden="1">
      <c r="A52" s="8" t="inlineStr">
        <is>
          <t>US Army Airborne</t>
        </is>
      </c>
      <c r="B52" s="5" t="inlineStr">
        <is>
          <t>running</t>
        </is>
      </c>
      <c r="C52" s="5" t="inlineStr">
        <is>
          <t>2-mile run</t>
        </is>
      </c>
      <c r="D52" s="6" t="inlineStr">
        <is>
          <t>sec</t>
        </is>
      </c>
      <c r="E52" s="5" t="inlineStr">
        <is>
          <t>lower-is-better</t>
        </is>
      </c>
      <c r="F52" s="6" t="inlineStr">
        <is>
          <t>15:54</t>
        </is>
      </c>
      <c r="G52" s="6" t="inlineStr">
        <is>
          <t>14:30</t>
        </is>
      </c>
      <c r="H52" s="6" t="inlineStr">
        <is>
          <t>13:30</t>
        </is>
      </c>
      <c r="I52" s="6" t="inlineStr">
        <is>
          <t>12:30</t>
        </is>
      </c>
      <c r="J52" s="9" t="n"/>
    </row>
    <row r="53" hidden="1">
      <c r="A53" s="8" t="inlineStr">
        <is>
          <t>US Army Airborne</t>
        </is>
      </c>
      <c r="B53" s="5" t="inlineStr">
        <is>
          <t>rucking</t>
        </is>
      </c>
      <c r="C53" s="5" t="inlineStr">
        <is>
          <t>8 km ruck</t>
        </is>
      </c>
      <c r="D53" s="6" t="inlineStr">
        <is>
          <t>sec</t>
        </is>
      </c>
      <c r="E53" s="5" t="inlineStr">
        <is>
          <t>lower-is-better</t>
        </is>
      </c>
      <c r="F53" s="6" t="inlineStr">
        <is>
          <t>1:30:00</t>
        </is>
      </c>
      <c r="G53" s="6" t="inlineStr">
        <is>
          <t>1:21:40</t>
        </is>
      </c>
      <c r="H53" s="6" t="inlineStr">
        <is>
          <t>1:15:00</t>
        </is>
      </c>
      <c r="I53" s="6" t="inlineStr">
        <is>
          <t>1:08:20</t>
        </is>
      </c>
      <c r="J53" s="9" t="n"/>
    </row>
    <row r="54" hidden="1">
      <c r="A54" s="8" t="inlineStr">
        <is>
          <t>US Army Airborne</t>
        </is>
      </c>
      <c r="B54" s="5" t="inlineStr">
        <is>
          <t>stability</t>
        </is>
      </c>
      <c r="C54" s="5" t="inlineStr">
        <is>
          <t>Plank (front)</t>
        </is>
      </c>
      <c r="D54" s="6" t="inlineStr">
        <is>
          <t>sec</t>
        </is>
      </c>
      <c r="E54" s="5" t="inlineStr">
        <is>
          <t>higher-is-better</t>
        </is>
      </c>
      <c r="F54" s="6" t="inlineStr">
        <is>
          <t>1:30</t>
        </is>
      </c>
      <c r="G54" s="6" t="inlineStr">
        <is>
          <t>2:30</t>
        </is>
      </c>
      <c r="H54" s="6" t="inlineStr">
        <is>
          <t>3:30</t>
        </is>
      </c>
      <c r="I54" s="6" t="inlineStr">
        <is>
          <t>4:30</t>
        </is>
      </c>
      <c r="J54" s="9" t="inlineStr">
        <is>
          <t>Auto-adjusted from user patterns (2026-05-11)</t>
        </is>
      </c>
    </row>
    <row r="55" hidden="1">
      <c r="A55" s="8" t="inlineStr">
        <is>
          <t>US Army Airborne</t>
        </is>
      </c>
      <c r="B55" s="5" t="inlineStr">
        <is>
          <t>stability</t>
        </is>
      </c>
      <c r="C55" s="5" t="inlineStr">
        <is>
          <t>Side plank (per side)</t>
        </is>
      </c>
      <c r="D55" s="6" t="inlineStr">
        <is>
          <t>sec</t>
        </is>
      </c>
      <c r="E55" s="5" t="inlineStr">
        <is>
          <t>higher-is-better</t>
        </is>
      </c>
      <c r="F55" s="6" t="inlineStr">
        <is>
          <t>1:00</t>
        </is>
      </c>
      <c r="G55" s="6" t="inlineStr">
        <is>
          <t>1:30</t>
        </is>
      </c>
      <c r="H55" s="6" t="inlineStr">
        <is>
          <t>2:00</t>
        </is>
      </c>
      <c r="I55" s="6" t="inlineStr">
        <is>
          <t>3:00</t>
        </is>
      </c>
      <c r="J55" s="9" t="n"/>
    </row>
    <row r="56">
      <c r="A56" s="8" t="inlineStr">
        <is>
          <t>Navy SEAL (BUD/S)</t>
        </is>
      </c>
      <c r="B56" s="5" t="inlineStr">
        <is>
          <t>lower_strength</t>
        </is>
      </c>
      <c r="C56" s="5" t="inlineStr">
        <is>
          <t>Back Squat</t>
        </is>
      </c>
      <c r="D56" s="6" t="inlineStr">
        <is>
          <t>kg</t>
        </is>
      </c>
      <c r="E56" s="5" t="inlineStr">
        <is>
          <t>higher-is-better</t>
        </is>
      </c>
      <c r="F56" s="6">
        <f>IFERROR(VLOOKUP("Navy SEAL (BUD/S)",'Strength by pathway'!$A:$AG,2,FALSE),"—")</f>
        <v/>
      </c>
      <c r="G56" s="6">
        <f>IFERROR(VLOOKUP("Navy SEAL (BUD/S)",'Strength by pathway'!$A:$AG,3,FALSE),"—")</f>
        <v/>
      </c>
      <c r="H56" s="6">
        <f>IFERROR(VLOOKUP("Navy SEAL (BUD/S)",'Strength by pathway'!$A:$AG,4,FALSE),"—")</f>
        <v/>
      </c>
      <c r="I56" s="6">
        <f>IFERROR(VLOOKUP("Navy SEAL (BUD/S)",'Strength by pathway'!$A:$AG,5,FALSE),"—")</f>
        <v/>
      </c>
      <c r="J56" s="9" t="n"/>
      <c r="K56" t="inlineStr">
        <is>
          <t>synced 2026-05-21 from benchmark_tests.ts</t>
        </is>
      </c>
    </row>
    <row r="57">
      <c r="A57" s="8" t="inlineStr">
        <is>
          <t>Navy SEAL (BUD/S)</t>
        </is>
      </c>
      <c r="B57" s="5" t="inlineStr">
        <is>
          <t>lower_strength</t>
        </is>
      </c>
      <c r="C57" s="5" t="inlineStr">
        <is>
          <t>Hex-bar DL</t>
        </is>
      </c>
      <c r="D57" s="6" t="inlineStr">
        <is>
          <t>kg</t>
        </is>
      </c>
      <c r="E57" s="5" t="inlineStr">
        <is>
          <t>higher-is-better</t>
        </is>
      </c>
      <c r="F57" s="6">
        <f>IFERROR(VLOOKUP("Navy SEAL (BUD/S)",'Strength by pathway'!$A:$AG,6,FALSE),"—")</f>
        <v/>
      </c>
      <c r="G57" s="6">
        <f>IFERROR(VLOOKUP("Navy SEAL (BUD/S)",'Strength by pathway'!$A:$AG,7,FALSE),"—")</f>
        <v/>
      </c>
      <c r="H57" s="6">
        <f>IFERROR(VLOOKUP("Navy SEAL (BUD/S)",'Strength by pathway'!$A:$AG,8,FALSE),"—")</f>
        <v/>
      </c>
      <c r="I57" s="6">
        <f>IFERROR(VLOOKUP("Navy SEAL (BUD/S)",'Strength by pathway'!$A:$AG,9,FALSE),"—")</f>
        <v/>
      </c>
      <c r="J57" s="9" t="n"/>
    </row>
    <row r="58">
      <c r="A58" s="8" t="inlineStr">
        <is>
          <t>Navy SEAL (BUD/S)</t>
        </is>
      </c>
      <c r="B58" s="5" t="inlineStr">
        <is>
          <t>lower_strength</t>
        </is>
      </c>
      <c r="C58" s="5" t="inlineStr">
        <is>
          <t>Conventional DL</t>
        </is>
      </c>
      <c r="D58" s="6" t="inlineStr">
        <is>
          <t>kg</t>
        </is>
      </c>
      <c r="E58" s="5" t="inlineStr">
        <is>
          <t>higher-is-better</t>
        </is>
      </c>
      <c r="F58" s="6">
        <f>IFERROR(VLOOKUP("Navy SEAL (BUD/S)",'Strength by pathway'!$A:$AG,10,FALSE),"—")</f>
        <v/>
      </c>
      <c r="G58" s="6">
        <f>IFERROR(VLOOKUP("Navy SEAL (BUD/S)",'Strength by pathway'!$A:$AG,11,FALSE),"—")</f>
        <v/>
      </c>
      <c r="H58" s="6">
        <f>IFERROR(VLOOKUP("Navy SEAL (BUD/S)",'Strength by pathway'!$A:$AG,12,FALSE),"—")</f>
        <v/>
      </c>
      <c r="I58" s="6">
        <f>IFERROR(VLOOKUP("Navy SEAL (BUD/S)",'Strength by pathway'!$A:$AG,13,FALSE),"—")</f>
        <v/>
      </c>
      <c r="J58" s="9" t="n"/>
    </row>
    <row r="59">
      <c r="A59" s="8" t="inlineStr">
        <is>
          <t>Navy SEAL (BUD/S)</t>
        </is>
      </c>
      <c r="B59" s="5" t="inlineStr">
        <is>
          <t>upper_strength</t>
        </is>
      </c>
      <c r="C59" s="5" t="inlineStr">
        <is>
          <t>Bench Press</t>
        </is>
      </c>
      <c r="D59" s="6" t="inlineStr">
        <is>
          <t>kg</t>
        </is>
      </c>
      <c r="E59" s="5" t="inlineStr">
        <is>
          <t>higher-is-better</t>
        </is>
      </c>
      <c r="F59" s="6">
        <f>IFERROR(VLOOKUP("Navy SEAL (BUD/S)",'Strength by pathway'!$A:$AG,14,FALSE),"—")</f>
        <v/>
      </c>
      <c r="G59" s="6">
        <f>IFERROR(VLOOKUP("Navy SEAL (BUD/S)",'Strength by pathway'!$A:$AG,15,FALSE),"—")</f>
        <v/>
      </c>
      <c r="H59" s="6">
        <f>IFERROR(VLOOKUP("Navy SEAL (BUD/S)",'Strength by pathway'!$A:$AG,16,FALSE),"—")</f>
        <v/>
      </c>
      <c r="I59" s="6">
        <f>IFERROR(VLOOKUP("Navy SEAL (BUD/S)",'Strength by pathway'!$A:$AG,17,FALSE),"—")</f>
        <v/>
      </c>
      <c r="J59" s="9" t="n"/>
    </row>
    <row r="60">
      <c r="A60" s="8" t="inlineStr">
        <is>
          <t>Navy SEAL (BUD/S)</t>
        </is>
      </c>
      <c r="B60" s="5" t="inlineStr">
        <is>
          <t>power</t>
        </is>
      </c>
      <c r="C60" s="5" t="inlineStr">
        <is>
          <t>Power Clean</t>
        </is>
      </c>
      <c r="D60" s="6" t="inlineStr">
        <is>
          <t>kg</t>
        </is>
      </c>
      <c r="E60" s="5" t="inlineStr">
        <is>
          <t>higher-is-better</t>
        </is>
      </c>
      <c r="F60" s="6">
        <f>IFERROR(VLOOKUP("Navy SEAL (BUD/S)",'Strength by pathway'!$A:$AG,22,FALSE),"—")</f>
        <v/>
      </c>
      <c r="G60" s="6">
        <f>IFERROR(VLOOKUP("Navy SEAL (BUD/S)",'Strength by pathway'!$A:$AG,23,FALSE),"—")</f>
        <v/>
      </c>
      <c r="H60" s="6">
        <f>IFERROR(VLOOKUP("Navy SEAL (BUD/S)",'Strength by pathway'!$A:$AG,24,FALSE),"—")</f>
        <v/>
      </c>
      <c r="I60" s="6">
        <f>IFERROR(VLOOKUP("Navy SEAL (BUD/S)",'Strength by pathway'!$A:$AG,25,FALSE),"—")</f>
        <v/>
      </c>
      <c r="J60" s="9" t="n"/>
    </row>
    <row r="61">
      <c r="A61" s="8" t="inlineStr">
        <is>
          <t>Navy SEAL (BUD/S)</t>
        </is>
      </c>
      <c r="B61" s="5" t="inlineStr">
        <is>
          <t>power</t>
        </is>
      </c>
      <c r="C61" s="5" t="inlineStr">
        <is>
          <t>Broad Jump</t>
        </is>
      </c>
      <c r="D61" s="6" t="inlineStr">
        <is>
          <t>m</t>
        </is>
      </c>
      <c r="E61" s="5" t="inlineStr">
        <is>
          <t>higher-is-better</t>
        </is>
      </c>
      <c r="F61" s="6">
        <f>IFERROR(VLOOKUP("Navy SEAL (BUD/S)",'Strength by pathway'!$A:$AG,26,FALSE),"—")</f>
        <v/>
      </c>
      <c r="G61" s="6">
        <f>IFERROR(VLOOKUP("Navy SEAL (BUD/S)",'Strength by pathway'!$A:$AG,27,FALSE),"—")</f>
        <v/>
      </c>
      <c r="H61" s="6">
        <f>IFERROR(VLOOKUP("Navy SEAL (BUD/S)",'Strength by pathway'!$A:$AG,28,FALSE),"—")</f>
        <v/>
      </c>
      <c r="I61" s="6">
        <f>IFERROR(VLOOKUP("Navy SEAL (BUD/S)",'Strength by pathway'!$A:$AG,29,FALSE),"—")</f>
        <v/>
      </c>
      <c r="J61" s="9" t="n"/>
    </row>
    <row r="62">
      <c r="A62" s="8" t="inlineStr">
        <is>
          <t>Navy SEAL (BUD/S)</t>
        </is>
      </c>
      <c r="B62" s="5" t="inlineStr">
        <is>
          <t>grip</t>
        </is>
      </c>
      <c r="C62" s="5" t="inlineStr">
        <is>
          <t>Dead hang (grip)</t>
        </is>
      </c>
      <c r="D62" s="6" t="inlineStr">
        <is>
          <t>sec</t>
        </is>
      </c>
      <c r="E62" s="5" t="inlineStr">
        <is>
          <t>higher-is-better</t>
        </is>
      </c>
      <c r="F62" s="6">
        <f>IFERROR(VLOOKUP("Navy SEAL (BUD/S)",'Strength by pathway'!$A:$AG,30,FALSE),"—")</f>
        <v/>
      </c>
      <c r="G62" s="6">
        <f>IFERROR(VLOOKUP("Navy SEAL (BUD/S)",'Strength by pathway'!$A:$AG,31,FALSE),"—")</f>
        <v/>
      </c>
      <c r="H62" s="6">
        <f>IFERROR(VLOOKUP("Navy SEAL (BUD/S)",'Strength by pathway'!$A:$AG,32,FALSE),"—")</f>
        <v/>
      </c>
      <c r="I62" s="6">
        <f>IFERROR(VLOOKUP("Navy SEAL (BUD/S)",'Strength by pathway'!$A:$AG,33,FALSE),"—")</f>
        <v/>
      </c>
      <c r="J62" s="9" t="n"/>
    </row>
    <row r="63">
      <c r="A63" s="8" t="inlineStr">
        <is>
          <t>Navy SEAL (BUD/S)</t>
        </is>
      </c>
      <c r="B63" s="5" t="inlineStr">
        <is>
          <t>upper_endurance</t>
        </is>
      </c>
      <c r="C63" s="5" t="inlineStr">
        <is>
          <t>Pull-ups (no time)</t>
        </is>
      </c>
      <c r="D63" s="6" t="inlineStr">
        <is>
          <t>reps</t>
        </is>
      </c>
      <c r="E63" s="5" t="inlineStr">
        <is>
          <t>higher-is-better</t>
        </is>
      </c>
      <c r="F63" s="6" t="n">
        <v>10</v>
      </c>
      <c r="G63" s="6" t="n">
        <v>15</v>
      </c>
      <c r="H63" s="6" t="n">
        <v>20</v>
      </c>
      <c r="I63" s="6" t="n">
        <v>25</v>
      </c>
      <c r="J63" s="9" t="n"/>
    </row>
    <row r="64">
      <c r="A64" s="8" t="inlineStr">
        <is>
          <t>Navy SEAL (BUD/S)</t>
        </is>
      </c>
      <c r="B64" s="5" t="inlineStr">
        <is>
          <t>upper_endurance</t>
        </is>
      </c>
      <c r="C64" s="5" t="inlineStr">
        <is>
          <t>Push-ups (2 min)</t>
        </is>
      </c>
      <c r="D64" s="6" t="inlineStr">
        <is>
          <t>reps</t>
        </is>
      </c>
      <c r="E64" s="5" t="inlineStr">
        <is>
          <t>higher-is-better</t>
        </is>
      </c>
      <c r="F64" s="6" t="n">
        <v>50</v>
      </c>
      <c r="G64" s="6" t="n">
        <v>80</v>
      </c>
      <c r="H64" s="6" t="n">
        <v>100</v>
      </c>
      <c r="I64" s="6" t="n">
        <v>120</v>
      </c>
      <c r="J64" s="9" t="n"/>
    </row>
    <row r="65">
      <c r="A65" s="8" t="inlineStr">
        <is>
          <t>Navy SEAL (BUD/S)</t>
        </is>
      </c>
      <c r="B65" s="5" t="inlineStr">
        <is>
          <t>core_endurance</t>
        </is>
      </c>
      <c r="C65" s="5" t="inlineStr">
        <is>
          <t>Sit-ups (2 min)</t>
        </is>
      </c>
      <c r="D65" s="6" t="inlineStr">
        <is>
          <t>reps</t>
        </is>
      </c>
      <c r="E65" s="5" t="inlineStr">
        <is>
          <t>higher-is-better</t>
        </is>
      </c>
      <c r="F65" s="6" t="n">
        <v>50</v>
      </c>
      <c r="G65" s="6" t="n">
        <v>80</v>
      </c>
      <c r="H65" s="6" t="n">
        <v>100</v>
      </c>
      <c r="I65" s="6" t="n">
        <v>120</v>
      </c>
      <c r="J65" s="9" t="n"/>
    </row>
    <row r="66">
      <c r="A66" s="8" t="inlineStr">
        <is>
          <t>Navy SEAL (BUD/S)</t>
        </is>
      </c>
      <c r="B66" s="5" t="inlineStr">
        <is>
          <t>running</t>
        </is>
      </c>
      <c r="C66" s="5" t="inlineStr">
        <is>
          <t>1.5-mile run</t>
        </is>
      </c>
      <c r="D66" s="6" t="inlineStr">
        <is>
          <t>sec</t>
        </is>
      </c>
      <c r="E66" s="5" t="inlineStr">
        <is>
          <t>lower-is-better</t>
        </is>
      </c>
      <c r="F66" s="6" t="inlineStr">
        <is>
          <t>10:30</t>
        </is>
      </c>
      <c r="G66" s="6" t="inlineStr">
        <is>
          <t>9:30</t>
        </is>
      </c>
      <c r="H66" s="6" t="inlineStr">
        <is>
          <t>9:00</t>
        </is>
      </c>
      <c r="I66" s="6" t="inlineStr">
        <is>
          <t>8:30</t>
        </is>
      </c>
      <c r="J66" s="9" t="n"/>
    </row>
    <row r="67">
      <c r="A67" s="8" t="inlineStr">
        <is>
          <t>Navy SEAL (BUD/S)</t>
        </is>
      </c>
      <c r="B67" s="5" t="inlineStr">
        <is>
          <t>swimming</t>
        </is>
      </c>
      <c r="C67" s="5" t="inlineStr">
        <is>
          <t>500 m swim</t>
        </is>
      </c>
      <c r="D67" s="6" t="inlineStr">
        <is>
          <t>sec</t>
        </is>
      </c>
      <c r="E67" s="5" t="inlineStr">
        <is>
          <t>lower-is-better</t>
        </is>
      </c>
      <c r="F67" s="6" t="inlineStr">
        <is>
          <t>12:30</t>
        </is>
      </c>
      <c r="G67" s="6" t="inlineStr">
        <is>
          <t>10:00</t>
        </is>
      </c>
      <c r="H67" s="6" t="inlineStr">
        <is>
          <t>9:00</t>
        </is>
      </c>
      <c r="I67" s="6" t="inlineStr">
        <is>
          <t>8:00</t>
        </is>
      </c>
      <c r="J67" s="9" t="n"/>
    </row>
    <row r="68">
      <c r="A68" s="8" t="inlineStr">
        <is>
          <t>Navy SEAL (BUD/S)</t>
        </is>
      </c>
      <c r="B68" s="5" t="inlineStr">
        <is>
          <t>stability</t>
        </is>
      </c>
      <c r="C68" s="5" t="inlineStr">
        <is>
          <t>Plank (front)</t>
        </is>
      </c>
      <c r="D68" s="6" t="inlineStr">
        <is>
          <t>sec</t>
        </is>
      </c>
      <c r="E68" s="5" t="inlineStr">
        <is>
          <t>higher-is-better</t>
        </is>
      </c>
      <c r="F68" s="6" t="inlineStr">
        <is>
          <t>1:30</t>
        </is>
      </c>
      <c r="G68" s="6" t="inlineStr">
        <is>
          <t>2:30</t>
        </is>
      </c>
      <c r="H68" s="6" t="inlineStr">
        <is>
          <t>3:30</t>
        </is>
      </c>
      <c r="I68" s="6" t="inlineStr">
        <is>
          <t>4:30</t>
        </is>
      </c>
      <c r="J68" s="9" t="n"/>
    </row>
    <row r="69">
      <c r="A69" s="8" t="inlineStr">
        <is>
          <t>Navy SEAL (BUD/S)</t>
        </is>
      </c>
      <c r="B69" s="5" t="inlineStr">
        <is>
          <t>stability</t>
        </is>
      </c>
      <c r="C69" s="5" t="inlineStr">
        <is>
          <t>Side plank (per side)</t>
        </is>
      </c>
      <c r="D69" s="6" t="inlineStr">
        <is>
          <t>sec</t>
        </is>
      </c>
      <c r="E69" s="5" t="inlineStr">
        <is>
          <t>higher-is-better</t>
        </is>
      </c>
      <c r="F69" s="6" t="inlineStr">
        <is>
          <t>1:00</t>
        </is>
      </c>
      <c r="G69" s="6" t="inlineStr">
        <is>
          <t>1:30</t>
        </is>
      </c>
      <c r="H69" s="6" t="inlineStr">
        <is>
          <t>2:00</t>
        </is>
      </c>
      <c r="I69" s="6" t="inlineStr">
        <is>
          <t>3:00</t>
        </is>
      </c>
      <c r="J69" s="9" t="n"/>
    </row>
    <row r="70" hidden="1">
      <c r="A70" s="8" t="inlineStr">
        <is>
          <t>USAF Pararescue (PJ)</t>
        </is>
      </c>
      <c r="B70" s="5" t="inlineStr">
        <is>
          <t>lower_strength</t>
        </is>
      </c>
      <c r="C70" s="5" t="inlineStr">
        <is>
          <t>Back Squat</t>
        </is>
      </c>
      <c r="D70" s="6" t="inlineStr">
        <is>
          <t>kg</t>
        </is>
      </c>
      <c r="E70" s="5" t="inlineStr">
        <is>
          <t>higher-is-better</t>
        </is>
      </c>
      <c r="F70" s="6">
        <f>IFERROR(VLOOKUP("USAF Pararescue (PJ)",'Strength by pathway'!$A:$AG,2,FALSE),"—")</f>
        <v/>
      </c>
      <c r="G70" s="6">
        <f>IFERROR(VLOOKUP("USAF Pararescue (PJ)",'Strength by pathway'!$A:$AG,3,FALSE),"—")</f>
        <v/>
      </c>
      <c r="H70" s="6">
        <f>IFERROR(VLOOKUP("USAF Pararescue (PJ)",'Strength by pathway'!$A:$AG,4,FALSE),"—")</f>
        <v/>
      </c>
      <c r="I70" s="6">
        <f>IFERROR(VLOOKUP("USAF Pararescue (PJ)",'Strength by pathway'!$A:$AG,5,FALSE),"—")</f>
        <v/>
      </c>
      <c r="J70" s="9" t="n"/>
      <c r="K70" t="inlineStr">
        <is>
          <t>synced 2026-05-21 from benchmark_tests.ts</t>
        </is>
      </c>
    </row>
    <row r="71" hidden="1">
      <c r="A71" s="8" t="inlineStr">
        <is>
          <t>USAF Pararescue (PJ)</t>
        </is>
      </c>
      <c r="B71" s="5" t="inlineStr">
        <is>
          <t>lower_strength</t>
        </is>
      </c>
      <c r="C71" s="5" t="inlineStr">
        <is>
          <t>Hex-bar DL</t>
        </is>
      </c>
      <c r="D71" s="6" t="inlineStr">
        <is>
          <t>kg</t>
        </is>
      </c>
      <c r="E71" s="5" t="inlineStr">
        <is>
          <t>higher-is-better</t>
        </is>
      </c>
      <c r="F71" s="6">
        <f>IFERROR(VLOOKUP("USAF Pararescue (PJ)",'Strength by pathway'!$A:$AG,6,FALSE),"—")</f>
        <v/>
      </c>
      <c r="G71" s="6">
        <f>IFERROR(VLOOKUP("USAF Pararescue (PJ)",'Strength by pathway'!$A:$AG,7,FALSE),"—")</f>
        <v/>
      </c>
      <c r="H71" s="6">
        <f>IFERROR(VLOOKUP("USAF Pararescue (PJ)",'Strength by pathway'!$A:$AG,8,FALSE),"—")</f>
        <v/>
      </c>
      <c r="I71" s="6">
        <f>IFERROR(VLOOKUP("USAF Pararescue (PJ)",'Strength by pathway'!$A:$AG,9,FALSE),"—")</f>
        <v/>
      </c>
      <c r="J71" s="9" t="n"/>
    </row>
    <row r="72" hidden="1">
      <c r="A72" s="8" t="inlineStr">
        <is>
          <t>USAF Pararescue (PJ)</t>
        </is>
      </c>
      <c r="B72" s="5" t="inlineStr">
        <is>
          <t>upper_strength</t>
        </is>
      </c>
      <c r="C72" s="5" t="inlineStr">
        <is>
          <t>Bench Press</t>
        </is>
      </c>
      <c r="D72" s="6" t="inlineStr">
        <is>
          <t>kg</t>
        </is>
      </c>
      <c r="E72" s="5" t="inlineStr">
        <is>
          <t>higher-is-better</t>
        </is>
      </c>
      <c r="F72" s="6">
        <f>IFERROR(VLOOKUP("USAF Pararescue (PJ)",'Strength by pathway'!$A:$AG,14,FALSE),"—")</f>
        <v/>
      </c>
      <c r="G72" s="6">
        <f>IFERROR(VLOOKUP("USAF Pararescue (PJ)",'Strength by pathway'!$A:$AG,15,FALSE),"—")</f>
        <v/>
      </c>
      <c r="H72" s="6">
        <f>IFERROR(VLOOKUP("USAF Pararescue (PJ)",'Strength by pathway'!$A:$AG,16,FALSE),"—")</f>
        <v/>
      </c>
      <c r="I72" s="6">
        <f>IFERROR(VLOOKUP("USAF Pararescue (PJ)",'Strength by pathway'!$A:$AG,17,FALSE),"—")</f>
        <v/>
      </c>
      <c r="J72" s="9" t="n"/>
    </row>
    <row r="73" hidden="1">
      <c r="A73" s="8" t="inlineStr">
        <is>
          <t>USAF Pararescue (PJ)</t>
        </is>
      </c>
      <c r="B73" s="5" t="inlineStr">
        <is>
          <t>power</t>
        </is>
      </c>
      <c r="C73" s="5" t="inlineStr">
        <is>
          <t>Power Clean</t>
        </is>
      </c>
      <c r="D73" s="6" t="inlineStr">
        <is>
          <t>kg</t>
        </is>
      </c>
      <c r="E73" s="5" t="inlineStr">
        <is>
          <t>higher-is-better</t>
        </is>
      </c>
      <c r="F73" s="6">
        <f>IFERROR(VLOOKUP("USAF Pararescue (PJ)",'Strength by pathway'!$A:$AG,22,FALSE),"—")</f>
        <v/>
      </c>
      <c r="G73" s="6">
        <f>IFERROR(VLOOKUP("USAF Pararescue (PJ)",'Strength by pathway'!$A:$AG,23,FALSE),"—")</f>
        <v/>
      </c>
      <c r="H73" s="6">
        <f>IFERROR(VLOOKUP("USAF Pararescue (PJ)",'Strength by pathway'!$A:$AG,24,FALSE),"—")</f>
        <v/>
      </c>
      <c r="I73" s="6">
        <f>IFERROR(VLOOKUP("USAF Pararescue (PJ)",'Strength by pathway'!$A:$AG,25,FALSE),"—")</f>
        <v/>
      </c>
      <c r="J73" s="9" t="n"/>
    </row>
    <row r="74" hidden="1">
      <c r="A74" s="8" t="inlineStr">
        <is>
          <t>USAF Pararescue (PJ)</t>
        </is>
      </c>
      <c r="B74" s="5" t="inlineStr">
        <is>
          <t>power</t>
        </is>
      </c>
      <c r="C74" s="5" t="inlineStr">
        <is>
          <t>Broad Jump</t>
        </is>
      </c>
      <c r="D74" s="6" t="inlineStr">
        <is>
          <t>m</t>
        </is>
      </c>
      <c r="E74" s="5" t="inlineStr">
        <is>
          <t>higher-is-better</t>
        </is>
      </c>
      <c r="F74" s="6">
        <f>IFERROR(VLOOKUP("USAF Pararescue (PJ)",'Strength by pathway'!$A:$AG,26,FALSE),"—")</f>
        <v/>
      </c>
      <c r="G74" s="6">
        <f>IFERROR(VLOOKUP("USAF Pararescue (PJ)",'Strength by pathway'!$A:$AG,27,FALSE),"—")</f>
        <v/>
      </c>
      <c r="H74" s="6">
        <f>IFERROR(VLOOKUP("USAF Pararescue (PJ)",'Strength by pathway'!$A:$AG,28,FALSE),"—")</f>
        <v/>
      </c>
      <c r="I74" s="6">
        <f>IFERROR(VLOOKUP("USAF Pararescue (PJ)",'Strength by pathway'!$A:$AG,29,FALSE),"—")</f>
        <v/>
      </c>
      <c r="J74" s="9" t="inlineStr">
        <is>
          <t>Auto-adjusted from user patterns (2026-05-11)</t>
        </is>
      </c>
    </row>
    <row r="75" hidden="1">
      <c r="A75" s="8" t="inlineStr">
        <is>
          <t>USAF Pararescue (PJ)</t>
        </is>
      </c>
      <c r="B75" s="5" t="inlineStr">
        <is>
          <t>grip</t>
        </is>
      </c>
      <c r="C75" s="5" t="inlineStr">
        <is>
          <t>Dead hang (grip)</t>
        </is>
      </c>
      <c r="D75" s="6" t="inlineStr">
        <is>
          <t>sec</t>
        </is>
      </c>
      <c r="E75" s="5" t="inlineStr">
        <is>
          <t>higher-is-better</t>
        </is>
      </c>
      <c r="F75" s="6">
        <f>IFERROR(VLOOKUP("USAF Pararescue (PJ)",'Strength by pathway'!$A:$AG,30,FALSE),"—")</f>
        <v/>
      </c>
      <c r="G75" s="6">
        <f>IFERROR(VLOOKUP("USAF Pararescue (PJ)",'Strength by pathway'!$A:$AG,31,FALSE),"—")</f>
        <v/>
      </c>
      <c r="H75" s="6">
        <f>IFERROR(VLOOKUP("USAF Pararescue (PJ)",'Strength by pathway'!$A:$AG,32,FALSE),"—")</f>
        <v/>
      </c>
      <c r="I75" s="6">
        <f>IFERROR(VLOOKUP("USAF Pararescue (PJ)",'Strength by pathway'!$A:$AG,33,FALSE),"—")</f>
        <v/>
      </c>
      <c r="J75" s="9" t="inlineStr">
        <is>
          <t>Auto-adjusted from user patterns (2026-05-11)</t>
        </is>
      </c>
    </row>
    <row r="76" hidden="1">
      <c r="A76" s="8" t="inlineStr">
        <is>
          <t>USAF Pararescue (PJ)</t>
        </is>
      </c>
      <c r="B76" s="5" t="inlineStr">
        <is>
          <t>upper_endurance</t>
        </is>
      </c>
      <c r="C76" s="5" t="inlineStr">
        <is>
          <t>Pull-ups (no time)</t>
        </is>
      </c>
      <c r="D76" s="6" t="inlineStr">
        <is>
          <t>reps</t>
        </is>
      </c>
      <c r="E76" s="5" t="inlineStr">
        <is>
          <t>higher-is-better</t>
        </is>
      </c>
      <c r="F76" s="6" t="n">
        <v>8</v>
      </c>
      <c r="G76" s="6" t="n">
        <v>12</v>
      </c>
      <c r="H76" s="6" t="n">
        <v>18</v>
      </c>
      <c r="I76" s="6" t="n">
        <v>22</v>
      </c>
      <c r="J76" s="9" t="n"/>
    </row>
    <row r="77" hidden="1">
      <c r="A77" s="8" t="inlineStr">
        <is>
          <t>USAF Pararescue (PJ)</t>
        </is>
      </c>
      <c r="B77" s="5" t="inlineStr">
        <is>
          <t>upper_endurance</t>
        </is>
      </c>
      <c r="C77" s="5" t="inlineStr">
        <is>
          <t>Push-ups (2 min)</t>
        </is>
      </c>
      <c r="D77" s="6" t="inlineStr">
        <is>
          <t>reps</t>
        </is>
      </c>
      <c r="E77" s="5" t="inlineStr">
        <is>
          <t>higher-is-better</t>
        </is>
      </c>
      <c r="F77" s="6" t="n">
        <v>50</v>
      </c>
      <c r="G77" s="6" t="n">
        <v>70</v>
      </c>
      <c r="H77" s="6" t="n">
        <v>85</v>
      </c>
      <c r="I77" s="6" t="n">
        <v>100</v>
      </c>
      <c r="J77" s="9" t="n"/>
    </row>
    <row r="78" hidden="1">
      <c r="A78" s="8" t="inlineStr">
        <is>
          <t>USAF Pararescue (PJ)</t>
        </is>
      </c>
      <c r="B78" s="5" t="inlineStr">
        <is>
          <t>core_endurance</t>
        </is>
      </c>
      <c r="C78" s="5" t="inlineStr">
        <is>
          <t>Sit-ups (2 min)</t>
        </is>
      </c>
      <c r="D78" s="6" t="inlineStr">
        <is>
          <t>reps</t>
        </is>
      </c>
      <c r="E78" s="5" t="inlineStr">
        <is>
          <t>higher-is-better</t>
        </is>
      </c>
      <c r="F78" s="6" t="n">
        <v>54</v>
      </c>
      <c r="G78" s="6" t="n">
        <v>70</v>
      </c>
      <c r="H78" s="6" t="n">
        <v>90</v>
      </c>
      <c r="I78" s="6" t="n">
        <v>100</v>
      </c>
      <c r="J78" s="9" t="n"/>
    </row>
    <row r="79" hidden="1">
      <c r="A79" s="8" t="inlineStr">
        <is>
          <t>USAF Pararescue (PJ)</t>
        </is>
      </c>
      <c r="B79" s="5" t="inlineStr">
        <is>
          <t>running</t>
        </is>
      </c>
      <c r="C79" s="5" t="inlineStr">
        <is>
          <t>1.5-mile run</t>
        </is>
      </c>
      <c r="D79" s="6" t="inlineStr">
        <is>
          <t>sec</t>
        </is>
      </c>
      <c r="E79" s="5" t="inlineStr">
        <is>
          <t>lower-is-better</t>
        </is>
      </c>
      <c r="F79" s="6" t="inlineStr">
        <is>
          <t>10:10</t>
        </is>
      </c>
      <c r="G79" s="6" t="inlineStr">
        <is>
          <t>9:30</t>
        </is>
      </c>
      <c r="H79" s="6" t="inlineStr">
        <is>
          <t>9:00</t>
        </is>
      </c>
      <c r="I79" s="6" t="inlineStr">
        <is>
          <t>8:30</t>
        </is>
      </c>
      <c r="J79" s="9" t="n"/>
    </row>
    <row r="80" hidden="1">
      <c r="A80" s="8" t="inlineStr">
        <is>
          <t>USAF Pararescue (PJ)</t>
        </is>
      </c>
      <c r="B80" s="5" t="inlineStr">
        <is>
          <t>rucking</t>
        </is>
      </c>
      <c r="C80" s="5" t="inlineStr">
        <is>
          <t>8 km ruck</t>
        </is>
      </c>
      <c r="D80" s="6" t="inlineStr">
        <is>
          <t>sec</t>
        </is>
      </c>
      <c r="E80" s="5" t="inlineStr">
        <is>
          <t>lower-is-better</t>
        </is>
      </c>
      <c r="F80" s="6" t="inlineStr">
        <is>
          <t>1:30:00</t>
        </is>
      </c>
      <c r="G80" s="6" t="inlineStr">
        <is>
          <t>1:15:00</t>
        </is>
      </c>
      <c r="H80" s="6" t="inlineStr">
        <is>
          <t>1:00:00</t>
        </is>
      </c>
      <c r="I80" s="6" t="inlineStr">
        <is>
          <t>50:00</t>
        </is>
      </c>
      <c r="J80" s="9" t="n"/>
    </row>
    <row r="81" hidden="1">
      <c r="A81" s="8" t="inlineStr">
        <is>
          <t>USAF Pararescue (PJ)</t>
        </is>
      </c>
      <c r="B81" s="5" t="inlineStr">
        <is>
          <t>swimming</t>
        </is>
      </c>
      <c r="C81" s="5" t="inlineStr">
        <is>
          <t>500 m swim</t>
        </is>
      </c>
      <c r="D81" s="6" t="inlineStr">
        <is>
          <t>sec</t>
        </is>
      </c>
      <c r="E81" s="5" t="inlineStr">
        <is>
          <t>lower-is-better</t>
        </is>
      </c>
      <c r="F81" s="6" t="inlineStr">
        <is>
          <t>12:00</t>
        </is>
      </c>
      <c r="G81" s="6" t="inlineStr">
        <is>
          <t>11:00</t>
        </is>
      </c>
      <c r="H81" s="6" t="inlineStr">
        <is>
          <t>10:00</t>
        </is>
      </c>
      <c r="I81" s="6" t="inlineStr">
        <is>
          <t>9:30</t>
        </is>
      </c>
      <c r="J81" s="9" t="n"/>
    </row>
    <row r="82" hidden="1">
      <c r="A82" s="8" t="inlineStr">
        <is>
          <t>USAF Pararescue (PJ)</t>
        </is>
      </c>
      <c r="B82" s="5" t="inlineStr">
        <is>
          <t>stability</t>
        </is>
      </c>
      <c r="C82" s="5" t="inlineStr">
        <is>
          <t>Plank (front)</t>
        </is>
      </c>
      <c r="D82" s="6" t="inlineStr">
        <is>
          <t>sec</t>
        </is>
      </c>
      <c r="E82" s="5" t="inlineStr">
        <is>
          <t>higher-is-better</t>
        </is>
      </c>
      <c r="F82" s="6" t="inlineStr">
        <is>
          <t>1:30</t>
        </is>
      </c>
      <c r="G82" s="6" t="inlineStr">
        <is>
          <t>2:30</t>
        </is>
      </c>
      <c r="H82" s="6" t="inlineStr">
        <is>
          <t>3:30</t>
        </is>
      </c>
      <c r="I82" s="6" t="inlineStr">
        <is>
          <t>4:30</t>
        </is>
      </c>
      <c r="J82" s="9" t="inlineStr">
        <is>
          <t>Auto-adjusted from user patterns (2026-05-11)</t>
        </is>
      </c>
    </row>
    <row r="83" hidden="1">
      <c r="A83" s="8" t="inlineStr">
        <is>
          <t>USAF Pararescue (PJ)</t>
        </is>
      </c>
      <c r="B83" s="5" t="inlineStr">
        <is>
          <t>stability</t>
        </is>
      </c>
      <c r="C83" s="5" t="inlineStr">
        <is>
          <t>Side plank (per side)</t>
        </is>
      </c>
      <c r="D83" s="6" t="inlineStr">
        <is>
          <t>sec</t>
        </is>
      </c>
      <c r="E83" s="5" t="inlineStr">
        <is>
          <t>higher-is-better</t>
        </is>
      </c>
      <c r="F83" s="6" t="inlineStr">
        <is>
          <t>1:00</t>
        </is>
      </c>
      <c r="G83" s="6" t="inlineStr">
        <is>
          <t>1:30</t>
        </is>
      </c>
      <c r="H83" s="6" t="inlineStr">
        <is>
          <t>2:00</t>
        </is>
      </c>
      <c r="I83" s="6" t="inlineStr">
        <is>
          <t>3:00</t>
        </is>
      </c>
      <c r="J83" s="9" t="n"/>
    </row>
    <row r="84" hidden="1">
      <c r="A84" s="8" t="inlineStr">
        <is>
          <t>US Army Special Forces (SFAS)</t>
        </is>
      </c>
      <c r="B84" s="5" t="inlineStr">
        <is>
          <t>lower_strength</t>
        </is>
      </c>
      <c r="C84" s="5" t="inlineStr">
        <is>
          <t>Back Squat</t>
        </is>
      </c>
      <c r="D84" s="6" t="inlineStr">
        <is>
          <t>kg</t>
        </is>
      </c>
      <c r="E84" s="5" t="inlineStr">
        <is>
          <t>higher-is-better</t>
        </is>
      </c>
      <c r="F84" s="6">
        <f>IFERROR(VLOOKUP("US Army Special Forces (SFAS)",'Strength by pathway'!$A:$AG,2,FALSE),"—")</f>
        <v/>
      </c>
      <c r="G84" s="6">
        <f>IFERROR(VLOOKUP("US Army Special Forces (SFAS)",'Strength by pathway'!$A:$AG,3,FALSE),"—")</f>
        <v/>
      </c>
      <c r="H84" s="6">
        <f>IFERROR(VLOOKUP("US Army Special Forces (SFAS)",'Strength by pathway'!$A:$AG,4,FALSE),"—")</f>
        <v/>
      </c>
      <c r="I84" s="6">
        <f>IFERROR(VLOOKUP("US Army Special Forces (SFAS)",'Strength by pathway'!$A:$AG,5,FALSE),"—")</f>
        <v/>
      </c>
      <c r="J84" s="9" t="n"/>
      <c r="K84" t="inlineStr">
        <is>
          <t>synced 2026-05-21 from benchmark_tests.ts</t>
        </is>
      </c>
    </row>
    <row r="85" hidden="1">
      <c r="A85" s="8" t="inlineStr">
        <is>
          <t>US Army Special Forces (SFAS)</t>
        </is>
      </c>
      <c r="B85" s="5" t="inlineStr">
        <is>
          <t>lower_strength</t>
        </is>
      </c>
      <c r="C85" s="5" t="inlineStr">
        <is>
          <t>Hex-bar DL</t>
        </is>
      </c>
      <c r="D85" s="6" t="inlineStr">
        <is>
          <t>kg</t>
        </is>
      </c>
      <c r="E85" s="5" t="inlineStr">
        <is>
          <t>higher-is-better</t>
        </is>
      </c>
      <c r="F85" s="6">
        <f>IFERROR(VLOOKUP("US Army Special Forces (SFAS)",'Strength by pathway'!$A:$AG,6,FALSE),"—")</f>
        <v/>
      </c>
      <c r="G85" s="6">
        <f>IFERROR(VLOOKUP("US Army Special Forces (SFAS)",'Strength by pathway'!$A:$AG,7,FALSE),"—")</f>
        <v/>
      </c>
      <c r="H85" s="6">
        <f>IFERROR(VLOOKUP("US Army Special Forces (SFAS)",'Strength by pathway'!$A:$AG,8,FALSE),"—")</f>
        <v/>
      </c>
      <c r="I85" s="6">
        <f>IFERROR(VLOOKUP("US Army Special Forces (SFAS)",'Strength by pathway'!$A:$AG,9,FALSE),"—")</f>
        <v/>
      </c>
      <c r="J85" s="9" t="n"/>
    </row>
    <row r="86" hidden="1">
      <c r="A86" s="8" t="inlineStr">
        <is>
          <t>US Army Special Forces (SFAS)</t>
        </is>
      </c>
      <c r="B86" s="5" t="inlineStr">
        <is>
          <t>lower_strength</t>
        </is>
      </c>
      <c r="C86" s="5" t="inlineStr">
        <is>
          <t>Conventional DL</t>
        </is>
      </c>
      <c r="D86" s="6" t="inlineStr">
        <is>
          <t>kg</t>
        </is>
      </c>
      <c r="E86" s="5" t="inlineStr">
        <is>
          <t>higher-is-better</t>
        </is>
      </c>
      <c r="F86" s="6">
        <f>IFERROR(VLOOKUP("US Army Special Forces (SFAS)",'Strength by pathway'!$A:$AG,10,FALSE),"—")</f>
        <v/>
      </c>
      <c r="G86" s="6">
        <f>IFERROR(VLOOKUP("US Army Special Forces (SFAS)",'Strength by pathway'!$A:$AG,11,FALSE),"—")</f>
        <v/>
      </c>
      <c r="H86" s="6">
        <f>IFERROR(VLOOKUP("US Army Special Forces (SFAS)",'Strength by pathway'!$A:$AG,12,FALSE),"—")</f>
        <v/>
      </c>
      <c r="I86" s="6">
        <f>IFERROR(VLOOKUP("US Army Special Forces (SFAS)",'Strength by pathway'!$A:$AG,13,FALSE),"—")</f>
        <v/>
      </c>
      <c r="J86" s="9" t="n"/>
    </row>
    <row r="87" hidden="1">
      <c r="A87" s="8" t="inlineStr">
        <is>
          <t>US Army Special Forces (SFAS)</t>
        </is>
      </c>
      <c r="B87" s="5" t="inlineStr">
        <is>
          <t>upper_strength</t>
        </is>
      </c>
      <c r="C87" s="5" t="inlineStr">
        <is>
          <t>Bench Press</t>
        </is>
      </c>
      <c r="D87" s="6" t="inlineStr">
        <is>
          <t>kg</t>
        </is>
      </c>
      <c r="E87" s="5" t="inlineStr">
        <is>
          <t>higher-is-better</t>
        </is>
      </c>
      <c r="F87" s="6">
        <f>IFERROR(VLOOKUP("US Army Special Forces (SFAS)",'Strength by pathway'!$A:$AG,14,FALSE),"—")</f>
        <v/>
      </c>
      <c r="G87" s="6">
        <f>IFERROR(VLOOKUP("US Army Special Forces (SFAS)",'Strength by pathway'!$A:$AG,15,FALSE),"—")</f>
        <v/>
      </c>
      <c r="H87" s="6">
        <f>IFERROR(VLOOKUP("US Army Special Forces (SFAS)",'Strength by pathway'!$A:$AG,16,FALSE),"—")</f>
        <v/>
      </c>
      <c r="I87" s="6">
        <f>IFERROR(VLOOKUP("US Army Special Forces (SFAS)",'Strength by pathway'!$A:$AG,17,FALSE),"—")</f>
        <v/>
      </c>
      <c r="J87" s="9" t="n"/>
    </row>
    <row r="88" hidden="1">
      <c r="A88" s="8" t="inlineStr">
        <is>
          <t>US Army Special Forces (SFAS)</t>
        </is>
      </c>
      <c r="B88" s="5" t="inlineStr">
        <is>
          <t>upper_strength</t>
        </is>
      </c>
      <c r="C88" s="5" t="inlineStr">
        <is>
          <t>Overhead Press</t>
        </is>
      </c>
      <c r="D88" s="6" t="inlineStr">
        <is>
          <t>kg</t>
        </is>
      </c>
      <c r="E88" s="5" t="inlineStr">
        <is>
          <t>higher-is-better</t>
        </is>
      </c>
      <c r="F88" s="6">
        <f>IFERROR(VLOOKUP("US Army Special Forces (SFAS)",'Strength by pathway'!$A:$AG,18,FALSE),"—")</f>
        <v/>
      </c>
      <c r="G88" s="6">
        <f>IFERROR(VLOOKUP("US Army Special Forces (SFAS)",'Strength by pathway'!$A:$AG,19,FALSE),"—")</f>
        <v/>
      </c>
      <c r="H88" s="6">
        <f>IFERROR(VLOOKUP("US Army Special Forces (SFAS)",'Strength by pathway'!$A:$AG,20,FALSE),"—")</f>
        <v/>
      </c>
      <c r="I88" s="6">
        <f>IFERROR(VLOOKUP("US Army Special Forces (SFAS)",'Strength by pathway'!$A:$AG,21,FALSE),"—")</f>
        <v/>
      </c>
      <c r="J88" s="9" t="n"/>
    </row>
    <row r="89" hidden="1">
      <c r="A89" s="8" t="inlineStr">
        <is>
          <t>US Army Special Forces (SFAS)</t>
        </is>
      </c>
      <c r="B89" s="5" t="inlineStr">
        <is>
          <t>power</t>
        </is>
      </c>
      <c r="C89" s="5" t="inlineStr">
        <is>
          <t>Power Clean</t>
        </is>
      </c>
      <c r="D89" s="6" t="inlineStr">
        <is>
          <t>kg</t>
        </is>
      </c>
      <c r="E89" s="5" t="inlineStr">
        <is>
          <t>higher-is-better</t>
        </is>
      </c>
      <c r="F89" s="6">
        <f>IFERROR(VLOOKUP("US Army Special Forces (SFAS)",'Strength by pathway'!$A:$AG,22,FALSE),"—")</f>
        <v/>
      </c>
      <c r="G89" s="6">
        <f>IFERROR(VLOOKUP("US Army Special Forces (SFAS)",'Strength by pathway'!$A:$AG,23,FALSE),"—")</f>
        <v/>
      </c>
      <c r="H89" s="6">
        <f>IFERROR(VLOOKUP("US Army Special Forces (SFAS)",'Strength by pathway'!$A:$AG,24,FALSE),"—")</f>
        <v/>
      </c>
      <c r="I89" s="6">
        <f>IFERROR(VLOOKUP("US Army Special Forces (SFAS)",'Strength by pathway'!$A:$AG,25,FALSE),"—")</f>
        <v/>
      </c>
      <c r="J89" s="9" t="n"/>
    </row>
    <row r="90" hidden="1">
      <c r="A90" s="8" t="inlineStr">
        <is>
          <t>US Army Special Forces (SFAS)</t>
        </is>
      </c>
      <c r="B90" s="5" t="inlineStr">
        <is>
          <t>power</t>
        </is>
      </c>
      <c r="C90" s="5" t="inlineStr">
        <is>
          <t>Broad Jump</t>
        </is>
      </c>
      <c r="D90" s="6" t="inlineStr">
        <is>
          <t>m</t>
        </is>
      </c>
      <c r="E90" s="5" t="inlineStr">
        <is>
          <t>higher-is-better</t>
        </is>
      </c>
      <c r="F90" s="6">
        <f>IFERROR(VLOOKUP("US Army Special Forces (SFAS)",'Strength by pathway'!$A:$AG,26,FALSE),"—")</f>
        <v/>
      </c>
      <c r="G90" s="6">
        <f>IFERROR(VLOOKUP("US Army Special Forces (SFAS)",'Strength by pathway'!$A:$AG,27,FALSE),"—")</f>
        <v/>
      </c>
      <c r="H90" s="6">
        <f>IFERROR(VLOOKUP("US Army Special Forces (SFAS)",'Strength by pathway'!$A:$AG,28,FALSE),"—")</f>
        <v/>
      </c>
      <c r="I90" s="6">
        <f>IFERROR(VLOOKUP("US Army Special Forces (SFAS)",'Strength by pathway'!$A:$AG,29,FALSE),"—")</f>
        <v/>
      </c>
      <c r="J90" s="9" t="inlineStr">
        <is>
          <t>Auto-adjusted from user patterns (2026-05-11)</t>
        </is>
      </c>
    </row>
    <row r="91" hidden="1">
      <c r="A91" s="8" t="inlineStr">
        <is>
          <t>US Army Special Forces (SFAS)</t>
        </is>
      </c>
      <c r="B91" s="5" t="inlineStr">
        <is>
          <t>grip</t>
        </is>
      </c>
      <c r="C91" s="5" t="inlineStr">
        <is>
          <t>Dead hang (grip)</t>
        </is>
      </c>
      <c r="D91" s="6" t="inlineStr">
        <is>
          <t>sec</t>
        </is>
      </c>
      <c r="E91" s="5" t="inlineStr">
        <is>
          <t>higher-is-better</t>
        </is>
      </c>
      <c r="F91" s="6">
        <f>IFERROR(VLOOKUP("US Army Special Forces (SFAS)",'Strength by pathway'!$A:$AG,30,FALSE),"—")</f>
        <v/>
      </c>
      <c r="G91" s="6">
        <f>IFERROR(VLOOKUP("US Army Special Forces (SFAS)",'Strength by pathway'!$A:$AG,31,FALSE),"—")</f>
        <v/>
      </c>
      <c r="H91" s="6">
        <f>IFERROR(VLOOKUP("US Army Special Forces (SFAS)",'Strength by pathway'!$A:$AG,32,FALSE),"—")</f>
        <v/>
      </c>
      <c r="I91" s="6">
        <f>IFERROR(VLOOKUP("US Army Special Forces (SFAS)",'Strength by pathway'!$A:$AG,33,FALSE),"—")</f>
        <v/>
      </c>
      <c r="J91" s="9" t="inlineStr">
        <is>
          <t>Auto-adjusted from user patterns (2026-05-11)</t>
        </is>
      </c>
    </row>
    <row r="92" hidden="1">
      <c r="A92" s="8" t="inlineStr">
        <is>
          <t>US Army Special Forces (SFAS)</t>
        </is>
      </c>
      <c r="B92" s="5" t="inlineStr">
        <is>
          <t>upper_endurance</t>
        </is>
      </c>
      <c r="C92" s="5" t="inlineStr">
        <is>
          <t>Pull-ups (no time)</t>
        </is>
      </c>
      <c r="D92" s="6" t="inlineStr">
        <is>
          <t>reps</t>
        </is>
      </c>
      <c r="E92" s="5" t="inlineStr">
        <is>
          <t>higher-is-better</t>
        </is>
      </c>
      <c r="F92" s="6" t="n">
        <v>6</v>
      </c>
      <c r="G92" s="6" t="n">
        <v>12</v>
      </c>
      <c r="H92" s="6" t="n">
        <v>18</v>
      </c>
      <c r="I92" s="6" t="n">
        <v>25</v>
      </c>
      <c r="J92" s="9" t="n"/>
    </row>
    <row r="93" hidden="1">
      <c r="A93" s="8" t="inlineStr">
        <is>
          <t>US Army Special Forces (SFAS)</t>
        </is>
      </c>
      <c r="B93" s="5" t="inlineStr">
        <is>
          <t>upper_endurance</t>
        </is>
      </c>
      <c r="C93" s="5" t="inlineStr">
        <is>
          <t>Push-ups (2 min)</t>
        </is>
      </c>
      <c r="D93" s="6" t="inlineStr">
        <is>
          <t>reps</t>
        </is>
      </c>
      <c r="E93" s="5" t="inlineStr">
        <is>
          <t>higher-is-better</t>
        </is>
      </c>
      <c r="F93" s="6" t="n">
        <v>49</v>
      </c>
      <c r="G93" s="6" t="n">
        <v>65</v>
      </c>
      <c r="H93" s="6" t="n">
        <v>80</v>
      </c>
      <c r="I93" s="6" t="n">
        <v>100</v>
      </c>
      <c r="J93" s="9" t="n"/>
    </row>
    <row r="94" hidden="1">
      <c r="A94" s="8" t="inlineStr">
        <is>
          <t>US Army Special Forces (SFAS)</t>
        </is>
      </c>
      <c r="B94" s="5" t="inlineStr">
        <is>
          <t>core_endurance</t>
        </is>
      </c>
      <c r="C94" s="5" t="inlineStr">
        <is>
          <t>Sit-ups (2 min)</t>
        </is>
      </c>
      <c r="D94" s="6" t="inlineStr">
        <is>
          <t>reps</t>
        </is>
      </c>
      <c r="E94" s="5" t="inlineStr">
        <is>
          <t>higher-is-better</t>
        </is>
      </c>
      <c r="F94" s="6" t="n">
        <v>59</v>
      </c>
      <c r="G94" s="6" t="n">
        <v>75</v>
      </c>
      <c r="H94" s="6" t="n">
        <v>90</v>
      </c>
      <c r="I94" s="6" t="n">
        <v>100</v>
      </c>
      <c r="J94" s="9" t="n"/>
    </row>
    <row r="95" hidden="1">
      <c r="A95" s="8" t="inlineStr">
        <is>
          <t>US Army Special Forces (SFAS)</t>
        </is>
      </c>
      <c r="B95" s="5" t="inlineStr">
        <is>
          <t>running</t>
        </is>
      </c>
      <c r="C95" s="5" t="inlineStr">
        <is>
          <t>2-mile run</t>
        </is>
      </c>
      <c r="D95" s="6" t="inlineStr">
        <is>
          <t>sec</t>
        </is>
      </c>
      <c r="E95" s="5" t="inlineStr">
        <is>
          <t>lower-is-better</t>
        </is>
      </c>
      <c r="F95" s="6" t="inlineStr">
        <is>
          <t>15:12</t>
        </is>
      </c>
      <c r="G95" s="6" t="inlineStr">
        <is>
          <t>14:00</t>
        </is>
      </c>
      <c r="H95" s="6" t="inlineStr">
        <is>
          <t>13:00</t>
        </is>
      </c>
      <c r="I95" s="6" t="inlineStr">
        <is>
          <t>12:00</t>
        </is>
      </c>
      <c r="J95" s="9" t="n"/>
    </row>
    <row r="96" hidden="1">
      <c r="A96" s="8" t="inlineStr">
        <is>
          <t>US Army Special Forces (SFAS)</t>
        </is>
      </c>
      <c r="B96" s="5" t="inlineStr">
        <is>
          <t>running</t>
        </is>
      </c>
      <c r="C96" s="5" t="inlineStr">
        <is>
          <t>5-mile run</t>
        </is>
      </c>
      <c r="D96" s="6" t="inlineStr">
        <is>
          <t>sec</t>
        </is>
      </c>
      <c r="E96" s="5" t="inlineStr">
        <is>
          <t>lower-is-better</t>
        </is>
      </c>
      <c r="F96" s="6" t="inlineStr">
        <is>
          <t>40:00</t>
        </is>
      </c>
      <c r="G96" s="6" t="inlineStr">
        <is>
          <t>36:00</t>
        </is>
      </c>
      <c r="H96" s="6" t="inlineStr">
        <is>
          <t>33:00</t>
        </is>
      </c>
      <c r="I96" s="6" t="inlineStr">
        <is>
          <t>30:00</t>
        </is>
      </c>
      <c r="J96" s="9" t="n"/>
    </row>
    <row r="97" hidden="1">
      <c r="A97" s="8" t="inlineStr">
        <is>
          <t>US Army Special Forces (SFAS)</t>
        </is>
      </c>
      <c r="B97" s="5" t="inlineStr">
        <is>
          <t>rucking</t>
        </is>
      </c>
      <c r="C97" s="5" t="inlineStr">
        <is>
          <t>12-mile ruck</t>
        </is>
      </c>
      <c r="D97" s="6" t="inlineStr">
        <is>
          <t>sec</t>
        </is>
      </c>
      <c r="E97" s="5" t="inlineStr">
        <is>
          <t>lower-is-better</t>
        </is>
      </c>
      <c r="F97" s="6" t="inlineStr">
        <is>
          <t>3:00:00</t>
        </is>
      </c>
      <c r="G97" s="6" t="inlineStr">
        <is>
          <t>2:45:00</t>
        </is>
      </c>
      <c r="H97" s="6" t="inlineStr">
        <is>
          <t>2:30:00</t>
        </is>
      </c>
      <c r="I97" s="6" t="inlineStr">
        <is>
          <t>2:15:00</t>
        </is>
      </c>
      <c r="J97" s="9" t="n"/>
    </row>
    <row r="98" hidden="1">
      <c r="A98" s="8" t="inlineStr">
        <is>
          <t>US Army Special Forces (SFAS)</t>
        </is>
      </c>
      <c r="B98" s="5" t="inlineStr">
        <is>
          <t>stability</t>
        </is>
      </c>
      <c r="C98" s="5" t="inlineStr">
        <is>
          <t>Plank (front)</t>
        </is>
      </c>
      <c r="D98" s="6" t="inlineStr">
        <is>
          <t>sec</t>
        </is>
      </c>
      <c r="E98" s="5" t="inlineStr">
        <is>
          <t>higher-is-better</t>
        </is>
      </c>
      <c r="F98" s="6" t="inlineStr">
        <is>
          <t>1:30</t>
        </is>
      </c>
      <c r="G98" s="6" t="inlineStr">
        <is>
          <t>2:30</t>
        </is>
      </c>
      <c r="H98" s="6" t="inlineStr">
        <is>
          <t>3:30</t>
        </is>
      </c>
      <c r="I98" s="6" t="inlineStr">
        <is>
          <t>4:30</t>
        </is>
      </c>
      <c r="J98" s="9" t="n"/>
    </row>
    <row r="99" hidden="1">
      <c r="A99" s="8" t="inlineStr">
        <is>
          <t>US Army Special Forces (SFAS)</t>
        </is>
      </c>
      <c r="B99" s="5" t="inlineStr">
        <is>
          <t>stability</t>
        </is>
      </c>
      <c r="C99" s="5" t="inlineStr">
        <is>
          <t>Side plank (per side)</t>
        </is>
      </c>
      <c r="D99" s="6" t="inlineStr">
        <is>
          <t>sec</t>
        </is>
      </c>
      <c r="E99" s="5" t="inlineStr">
        <is>
          <t>higher-is-better</t>
        </is>
      </c>
      <c r="F99" s="6" t="inlineStr">
        <is>
          <t>1:00</t>
        </is>
      </c>
      <c r="G99" s="6" t="inlineStr">
        <is>
          <t>1:30</t>
        </is>
      </c>
      <c r="H99" s="6" t="inlineStr">
        <is>
          <t>2:00</t>
        </is>
      </c>
      <c r="I99" s="6" t="inlineStr">
        <is>
          <t>3:00</t>
        </is>
      </c>
      <c r="J99" s="9" t="n"/>
    </row>
    <row r="100">
      <c r="A100" s="8" t="inlineStr">
        <is>
          <t>UK Special Forces (SAS/SBS)</t>
        </is>
      </c>
      <c r="B100" s="5" t="inlineStr">
        <is>
          <t>lower_strength</t>
        </is>
      </c>
      <c r="C100" s="5" t="inlineStr">
        <is>
          <t>Back Squat</t>
        </is>
      </c>
      <c r="D100" s="6" t="inlineStr">
        <is>
          <t>kg</t>
        </is>
      </c>
      <c r="E100" s="5" t="inlineStr">
        <is>
          <t>higher-is-better</t>
        </is>
      </c>
      <c r="F100" s="6">
        <f>IFERROR(VLOOKUP("UK Special Forces (SAS/SBS)",'Strength by pathway'!$A:$AG,2,FALSE),"—")</f>
        <v/>
      </c>
      <c r="G100" s="6">
        <f>IFERROR(VLOOKUP("UK Special Forces (SAS/SBS)",'Strength by pathway'!$A:$AG,3,FALSE),"—")</f>
        <v/>
      </c>
      <c r="H100" s="6">
        <f>IFERROR(VLOOKUP("UK Special Forces (SAS/SBS)",'Strength by pathway'!$A:$AG,4,FALSE),"—")</f>
        <v/>
      </c>
      <c r="I100" s="6">
        <f>IFERROR(VLOOKUP("UK Special Forces (SAS/SBS)",'Strength by pathway'!$A:$AG,5,FALSE),"—")</f>
        <v/>
      </c>
      <c r="J100" s="9" t="n"/>
      <c r="K100" t="inlineStr">
        <is>
          <t>not in app — xlsx canonical</t>
        </is>
      </c>
    </row>
    <row r="101">
      <c r="A101" s="8" t="inlineStr">
        <is>
          <t>UK Special Forces (SAS/SBS)</t>
        </is>
      </c>
      <c r="B101" s="5" t="inlineStr">
        <is>
          <t>lower_strength</t>
        </is>
      </c>
      <c r="C101" s="5" t="inlineStr">
        <is>
          <t>Hex-bar DL</t>
        </is>
      </c>
      <c r="D101" s="6" t="inlineStr">
        <is>
          <t>kg</t>
        </is>
      </c>
      <c r="E101" s="5" t="inlineStr">
        <is>
          <t>higher-is-better</t>
        </is>
      </c>
      <c r="F101" s="6">
        <f>IFERROR(VLOOKUP("UK Special Forces (SAS/SBS)",'Strength by pathway'!$A:$AG,6,FALSE),"—")</f>
        <v/>
      </c>
      <c r="G101" s="6">
        <f>IFERROR(VLOOKUP("UK Special Forces (SAS/SBS)",'Strength by pathway'!$A:$AG,7,FALSE),"—")</f>
        <v/>
      </c>
      <c r="H101" s="6">
        <f>IFERROR(VLOOKUP("UK Special Forces (SAS/SBS)",'Strength by pathway'!$A:$AG,8,FALSE),"—")</f>
        <v/>
      </c>
      <c r="I101" s="6">
        <f>IFERROR(VLOOKUP("UK Special Forces (SAS/SBS)",'Strength by pathway'!$A:$AG,9,FALSE),"—")</f>
        <v/>
      </c>
      <c r="J101" s="9" t="n"/>
    </row>
    <row r="102">
      <c r="A102" s="8" t="inlineStr">
        <is>
          <t>UK Special Forces (SAS/SBS)</t>
        </is>
      </c>
      <c r="B102" s="5" t="inlineStr">
        <is>
          <t>lower_strength</t>
        </is>
      </c>
      <c r="C102" s="5" t="inlineStr">
        <is>
          <t>Conventional DL</t>
        </is>
      </c>
      <c r="D102" s="6" t="inlineStr">
        <is>
          <t>kg</t>
        </is>
      </c>
      <c r="E102" s="5" t="inlineStr">
        <is>
          <t>higher-is-better</t>
        </is>
      </c>
      <c r="F102" s="6">
        <f>IFERROR(VLOOKUP("UK Special Forces (SAS/SBS)",'Strength by pathway'!$A:$AG,10,FALSE),"—")</f>
        <v/>
      </c>
      <c r="G102" s="6">
        <f>IFERROR(VLOOKUP("UK Special Forces (SAS/SBS)",'Strength by pathway'!$A:$AG,11,FALSE),"—")</f>
        <v/>
      </c>
      <c r="H102" s="6">
        <f>IFERROR(VLOOKUP("UK Special Forces (SAS/SBS)",'Strength by pathway'!$A:$AG,12,FALSE),"—")</f>
        <v/>
      </c>
      <c r="I102" s="6">
        <f>IFERROR(VLOOKUP("UK Special Forces (SAS/SBS)",'Strength by pathway'!$A:$AG,13,FALSE),"—")</f>
        <v/>
      </c>
      <c r="J102" s="9" t="n"/>
    </row>
    <row r="103">
      <c r="A103" s="8" t="inlineStr">
        <is>
          <t>UK Special Forces (SAS/SBS)</t>
        </is>
      </c>
      <c r="B103" s="5" t="inlineStr">
        <is>
          <t>upper_strength</t>
        </is>
      </c>
      <c r="C103" s="5" t="inlineStr">
        <is>
          <t>Bench Press</t>
        </is>
      </c>
      <c r="D103" s="6" t="inlineStr">
        <is>
          <t>kg</t>
        </is>
      </c>
      <c r="E103" s="5" t="inlineStr">
        <is>
          <t>higher-is-better</t>
        </is>
      </c>
      <c r="F103" s="6">
        <f>IFERROR(VLOOKUP("UK Special Forces (SAS/SBS)",'Strength by pathway'!$A:$AG,14,FALSE),"—")</f>
        <v/>
      </c>
      <c r="G103" s="6">
        <f>IFERROR(VLOOKUP("UK Special Forces (SAS/SBS)",'Strength by pathway'!$A:$AG,15,FALSE),"—")</f>
        <v/>
      </c>
      <c r="H103" s="6">
        <f>IFERROR(VLOOKUP("UK Special Forces (SAS/SBS)",'Strength by pathway'!$A:$AG,16,FALSE),"—")</f>
        <v/>
      </c>
      <c r="I103" s="6">
        <f>IFERROR(VLOOKUP("UK Special Forces (SAS/SBS)",'Strength by pathway'!$A:$AG,17,FALSE),"—")</f>
        <v/>
      </c>
      <c r="J103" s="9" t="n"/>
    </row>
    <row r="104">
      <c r="A104" s="8" t="inlineStr">
        <is>
          <t>UK Special Forces (SAS/SBS)</t>
        </is>
      </c>
      <c r="B104" s="5" t="inlineStr">
        <is>
          <t>power</t>
        </is>
      </c>
      <c r="C104" s="5" t="inlineStr">
        <is>
          <t>Power Clean</t>
        </is>
      </c>
      <c r="D104" s="6" t="inlineStr">
        <is>
          <t>kg</t>
        </is>
      </c>
      <c r="E104" s="5" t="inlineStr">
        <is>
          <t>higher-is-better</t>
        </is>
      </c>
      <c r="F104" s="6">
        <f>IFERROR(VLOOKUP("UK Special Forces (SAS/SBS)",'Strength by pathway'!$A:$AG,22,FALSE),"—")</f>
        <v/>
      </c>
      <c r="G104" s="6">
        <f>IFERROR(VLOOKUP("UK Special Forces (SAS/SBS)",'Strength by pathway'!$A:$AG,23,FALSE),"—")</f>
        <v/>
      </c>
      <c r="H104" s="6">
        <f>IFERROR(VLOOKUP("UK Special Forces (SAS/SBS)",'Strength by pathway'!$A:$AG,24,FALSE),"—")</f>
        <v/>
      </c>
      <c r="I104" s="6">
        <f>IFERROR(VLOOKUP("UK Special Forces (SAS/SBS)",'Strength by pathway'!$A:$AG,25,FALSE),"—")</f>
        <v/>
      </c>
      <c r="J104" s="9" t="n"/>
    </row>
    <row r="105">
      <c r="A105" s="8" t="inlineStr">
        <is>
          <t>UK Special Forces (SAS/SBS)</t>
        </is>
      </c>
      <c r="B105" s="5" t="inlineStr">
        <is>
          <t>power</t>
        </is>
      </c>
      <c r="C105" s="5" t="inlineStr">
        <is>
          <t>Broad Jump</t>
        </is>
      </c>
      <c r="D105" s="6" t="inlineStr">
        <is>
          <t>m</t>
        </is>
      </c>
      <c r="E105" s="5" t="inlineStr">
        <is>
          <t>higher-is-better</t>
        </is>
      </c>
      <c r="F105" s="6">
        <f>IFERROR(VLOOKUP("UK Special Forces (SAS/SBS)",'Strength by pathway'!$A:$AG,26,FALSE),"—")</f>
        <v/>
      </c>
      <c r="G105" s="6">
        <f>IFERROR(VLOOKUP("UK Special Forces (SAS/SBS)",'Strength by pathway'!$A:$AG,27,FALSE),"—")</f>
        <v/>
      </c>
      <c r="H105" s="6">
        <f>IFERROR(VLOOKUP("UK Special Forces (SAS/SBS)",'Strength by pathway'!$A:$AG,28,FALSE),"—")</f>
        <v/>
      </c>
      <c r="I105" s="6">
        <f>IFERROR(VLOOKUP("UK Special Forces (SAS/SBS)",'Strength by pathway'!$A:$AG,29,FALSE),"—")</f>
        <v/>
      </c>
      <c r="J105" s="9" t="n"/>
    </row>
    <row r="106">
      <c r="A106" s="8" t="inlineStr">
        <is>
          <t>UK Special Forces (SAS/SBS)</t>
        </is>
      </c>
      <c r="B106" s="5" t="inlineStr">
        <is>
          <t>grip</t>
        </is>
      </c>
      <c r="C106" s="5" t="inlineStr">
        <is>
          <t>Dead hang (grip)</t>
        </is>
      </c>
      <c r="D106" s="6" t="inlineStr">
        <is>
          <t>sec</t>
        </is>
      </c>
      <c r="E106" s="5" t="inlineStr">
        <is>
          <t>higher-is-better</t>
        </is>
      </c>
      <c r="F106" s="6">
        <f>IFERROR(VLOOKUP("UK Special Forces (SAS/SBS)",'Strength by pathway'!$A:$AG,30,FALSE),"—")</f>
        <v/>
      </c>
      <c r="G106" s="6">
        <f>IFERROR(VLOOKUP("UK Special Forces (SAS/SBS)",'Strength by pathway'!$A:$AG,31,FALSE),"—")</f>
        <v/>
      </c>
      <c r="H106" s="6">
        <f>IFERROR(VLOOKUP("UK Special Forces (SAS/SBS)",'Strength by pathway'!$A:$AG,32,FALSE),"—")</f>
        <v/>
      </c>
      <c r="I106" s="6">
        <f>IFERROR(VLOOKUP("UK Special Forces (SAS/SBS)",'Strength by pathway'!$A:$AG,33,FALSE),"—")</f>
        <v/>
      </c>
      <c r="J106" s="9" t="n"/>
    </row>
    <row r="107">
      <c r="A107" s="8" t="inlineStr">
        <is>
          <t>UK Special Forces (SAS/SBS)</t>
        </is>
      </c>
      <c r="B107" s="5" t="inlineStr">
        <is>
          <t>upper_endurance</t>
        </is>
      </c>
      <c r="C107" s="5" t="inlineStr">
        <is>
          <t>Pull-ups (no time)</t>
        </is>
      </c>
      <c r="D107" s="6" t="inlineStr">
        <is>
          <t>reps</t>
        </is>
      </c>
      <c r="E107" s="5" t="inlineStr">
        <is>
          <t>higher-is-better</t>
        </is>
      </c>
      <c r="F107" s="6" t="n">
        <v>8</v>
      </c>
      <c r="G107" s="6" t="n">
        <v>13</v>
      </c>
      <c r="H107" s="6" t="n">
        <v>18</v>
      </c>
      <c r="I107" s="6" t="n">
        <v>22</v>
      </c>
      <c r="J107" s="9" t="n"/>
    </row>
    <row r="108">
      <c r="A108" s="8" t="inlineStr">
        <is>
          <t>UK Special Forces (SAS/SBS)</t>
        </is>
      </c>
      <c r="B108" s="5" t="inlineStr">
        <is>
          <t>upper_endurance</t>
        </is>
      </c>
      <c r="C108" s="5" t="inlineStr">
        <is>
          <t>Push-ups (2 min)</t>
        </is>
      </c>
      <c r="D108" s="6" t="inlineStr">
        <is>
          <t>reps</t>
        </is>
      </c>
      <c r="E108" s="5" t="inlineStr">
        <is>
          <t>higher-is-better</t>
        </is>
      </c>
      <c r="F108" s="6" t="n">
        <v>50</v>
      </c>
      <c r="G108" s="6" t="n">
        <v>65</v>
      </c>
      <c r="H108" s="6" t="n">
        <v>80</v>
      </c>
      <c r="I108" s="6" t="n">
        <v>100</v>
      </c>
      <c r="J108" s="9" t="n"/>
    </row>
    <row r="109">
      <c r="A109" s="8" t="inlineStr">
        <is>
          <t>UK Special Forces (SAS/SBS)</t>
        </is>
      </c>
      <c r="B109" s="5" t="inlineStr">
        <is>
          <t>core_endurance</t>
        </is>
      </c>
      <c r="C109" s="5" t="inlineStr">
        <is>
          <t>Sit-ups (2 min)</t>
        </is>
      </c>
      <c r="D109" s="6" t="inlineStr">
        <is>
          <t>reps</t>
        </is>
      </c>
      <c r="E109" s="5" t="inlineStr">
        <is>
          <t>higher-is-better</t>
        </is>
      </c>
      <c r="F109" s="6" t="n">
        <v>50</v>
      </c>
      <c r="G109" s="6" t="n">
        <v>75</v>
      </c>
      <c r="H109" s="6" t="n">
        <v>90</v>
      </c>
      <c r="I109" s="6" t="n">
        <v>110</v>
      </c>
      <c r="J109" s="9" t="n"/>
    </row>
    <row r="110">
      <c r="A110" s="8" t="inlineStr">
        <is>
          <t>UK Special Forces (SAS/SBS)</t>
        </is>
      </c>
      <c r="B110" s="5" t="inlineStr">
        <is>
          <t>running</t>
        </is>
      </c>
      <c r="C110" s="5" t="inlineStr">
        <is>
          <t>1.5-mile run</t>
        </is>
      </c>
      <c r="D110" s="6" t="inlineStr">
        <is>
          <t>sec</t>
        </is>
      </c>
      <c r="E110" s="5" t="inlineStr">
        <is>
          <t>lower-is-better</t>
        </is>
      </c>
      <c r="F110" s="6" t="inlineStr">
        <is>
          <t>10:30</t>
        </is>
      </c>
      <c r="G110" s="6" t="inlineStr">
        <is>
          <t>9:30</t>
        </is>
      </c>
      <c r="H110" s="6" t="inlineStr">
        <is>
          <t>9:00</t>
        </is>
      </c>
      <c r="I110" s="17" t="n">
        <v>0.3340277777777778</v>
      </c>
      <c r="J110" s="9" t="n"/>
    </row>
    <row r="111">
      <c r="A111" s="8" t="inlineStr">
        <is>
          <t>UK Special Forces (SAS/SBS)</t>
        </is>
      </c>
      <c r="B111" s="5" t="inlineStr">
        <is>
          <t>stability</t>
        </is>
      </c>
      <c r="C111" s="5" t="inlineStr">
        <is>
          <t>Plank (front)</t>
        </is>
      </c>
      <c r="D111" s="6" t="inlineStr">
        <is>
          <t>sec</t>
        </is>
      </c>
      <c r="E111" s="5" t="inlineStr">
        <is>
          <t>higher-is-better</t>
        </is>
      </c>
      <c r="F111" s="6" t="inlineStr">
        <is>
          <t>1:30</t>
        </is>
      </c>
      <c r="G111" s="6" t="inlineStr">
        <is>
          <t>2:30</t>
        </is>
      </c>
      <c r="H111" s="6" t="inlineStr">
        <is>
          <t>3:30</t>
        </is>
      </c>
      <c r="I111" s="6" t="inlineStr">
        <is>
          <t>4:30</t>
        </is>
      </c>
      <c r="J111" s="9" t="n"/>
    </row>
    <row r="112">
      <c r="A112" s="8" t="inlineStr">
        <is>
          <t>UK Special Forces (SAS/SBS)</t>
        </is>
      </c>
      <c r="B112" s="5" t="inlineStr">
        <is>
          <t>stability</t>
        </is>
      </c>
      <c r="C112" s="5" t="inlineStr">
        <is>
          <t>Side plank (per side)</t>
        </is>
      </c>
      <c r="D112" s="6" t="inlineStr">
        <is>
          <t>sec</t>
        </is>
      </c>
      <c r="E112" s="5" t="inlineStr">
        <is>
          <t>higher-is-better</t>
        </is>
      </c>
      <c r="F112" s="6" t="inlineStr">
        <is>
          <t>1:00</t>
        </is>
      </c>
      <c r="G112" s="6" t="inlineStr">
        <is>
          <t>1:30</t>
        </is>
      </c>
      <c r="H112" s="6" t="inlineStr">
        <is>
          <t>2:00</t>
        </is>
      </c>
      <c r="I112" s="6" t="inlineStr">
        <is>
          <t>3:00</t>
        </is>
      </c>
      <c r="J112" s="9" t="n"/>
    </row>
    <row r="113">
      <c r="A113" s="8" t="inlineStr">
        <is>
          <t>Tactical (generic)</t>
        </is>
      </c>
      <c r="B113" s="5" t="inlineStr">
        <is>
          <t>lower_strength</t>
        </is>
      </c>
      <c r="C113" s="5" t="inlineStr">
        <is>
          <t>Back Squat</t>
        </is>
      </c>
      <c r="D113" s="6" t="inlineStr">
        <is>
          <t>kg</t>
        </is>
      </c>
      <c r="E113" s="5" t="inlineStr">
        <is>
          <t>higher-is-better</t>
        </is>
      </c>
      <c r="F113" s="6">
        <f>IFERROR(VLOOKUP("Tactical (generic)",'Strength by pathway'!$A:$AG,2,FALSE),"—")</f>
        <v/>
      </c>
      <c r="G113" s="6">
        <f>IFERROR(VLOOKUP("Tactical (generic)",'Strength by pathway'!$A:$AG,3,FALSE),"—")</f>
        <v/>
      </c>
      <c r="H113" s="6">
        <f>IFERROR(VLOOKUP("Tactical (generic)",'Strength by pathway'!$A:$AG,4,FALSE),"—")</f>
        <v/>
      </c>
      <c r="I113" s="6">
        <f>IFERROR(VLOOKUP("Tactical (generic)",'Strength by pathway'!$A:$AG,5,FALSE),"—")</f>
        <v/>
      </c>
      <c r="J113" s="9" t="inlineStr">
        <is>
          <t>Auto-adjusted from user patterns (2026-05-11)</t>
        </is>
      </c>
      <c r="K113" t="inlineStr">
        <is>
          <t>not in app — xlsx canonical</t>
        </is>
      </c>
    </row>
    <row r="114">
      <c r="A114" s="8" t="inlineStr">
        <is>
          <t>Tactical (generic)</t>
        </is>
      </c>
      <c r="B114" s="5" t="inlineStr">
        <is>
          <t>lower_strength</t>
        </is>
      </c>
      <c r="C114" s="5" t="inlineStr">
        <is>
          <t>Hex-bar DL</t>
        </is>
      </c>
      <c r="D114" s="6" t="inlineStr">
        <is>
          <t>kg</t>
        </is>
      </c>
      <c r="E114" s="5" t="inlineStr">
        <is>
          <t>higher-is-better</t>
        </is>
      </c>
      <c r="F114" s="6">
        <f>IFERROR(VLOOKUP("Tactical (generic)",'Strength by pathway'!$A:$AG,6,FALSE),"—")</f>
        <v/>
      </c>
      <c r="G114" s="6">
        <f>IFERROR(VLOOKUP("Tactical (generic)",'Strength by pathway'!$A:$AG,7,FALSE),"—")</f>
        <v/>
      </c>
      <c r="H114" s="6">
        <f>IFERROR(VLOOKUP("Tactical (generic)",'Strength by pathway'!$A:$AG,8,FALSE),"—")</f>
        <v/>
      </c>
      <c r="I114" s="6">
        <f>IFERROR(VLOOKUP("Tactical (generic)",'Strength by pathway'!$A:$AG,9,FALSE),"—")</f>
        <v/>
      </c>
      <c r="J114" s="9" t="inlineStr">
        <is>
          <t>Auto-adjusted from user patterns (2026-05-11)</t>
        </is>
      </c>
    </row>
    <row r="115">
      <c r="A115" s="8" t="inlineStr">
        <is>
          <t>Tactical (generic)</t>
        </is>
      </c>
      <c r="B115" s="5" t="inlineStr">
        <is>
          <t>lower_strength</t>
        </is>
      </c>
      <c r="C115" s="5" t="inlineStr">
        <is>
          <t>Conventional DL</t>
        </is>
      </c>
      <c r="D115" s="6" t="inlineStr">
        <is>
          <t>kg</t>
        </is>
      </c>
      <c r="E115" s="5" t="inlineStr">
        <is>
          <t>higher-is-better</t>
        </is>
      </c>
      <c r="F115" s="6">
        <f>IFERROR(VLOOKUP("Tactical (generic)",'Strength by pathway'!$A:$AG,10,FALSE),"—")</f>
        <v/>
      </c>
      <c r="G115" s="6">
        <f>IFERROR(VLOOKUP("Tactical (generic)",'Strength by pathway'!$A:$AG,11,FALSE),"—")</f>
        <v/>
      </c>
      <c r="H115" s="6">
        <f>IFERROR(VLOOKUP("Tactical (generic)",'Strength by pathway'!$A:$AG,12,FALSE),"—")</f>
        <v/>
      </c>
      <c r="I115" s="6">
        <f>IFERROR(VLOOKUP("Tactical (generic)",'Strength by pathway'!$A:$AG,13,FALSE),"—")</f>
        <v/>
      </c>
      <c r="J115" s="9" t="inlineStr">
        <is>
          <t>Auto-adjusted from user patterns (2026-05-11)</t>
        </is>
      </c>
    </row>
    <row r="116">
      <c r="A116" s="8" t="inlineStr">
        <is>
          <t>Tactical (generic)</t>
        </is>
      </c>
      <c r="B116" s="5" t="inlineStr">
        <is>
          <t>upper_strength</t>
        </is>
      </c>
      <c r="C116" s="5" t="inlineStr">
        <is>
          <t>Bench Press</t>
        </is>
      </c>
      <c r="D116" s="6" t="inlineStr">
        <is>
          <t>kg</t>
        </is>
      </c>
      <c r="E116" s="5" t="inlineStr">
        <is>
          <t>higher-is-better</t>
        </is>
      </c>
      <c r="F116" s="6">
        <f>IFERROR(VLOOKUP("Tactical (generic)",'Strength by pathway'!$A:$AG,14,FALSE),"—")</f>
        <v/>
      </c>
      <c r="G116" s="6">
        <f>IFERROR(VLOOKUP("Tactical (generic)",'Strength by pathway'!$A:$AG,15,FALSE),"—")</f>
        <v/>
      </c>
      <c r="H116" s="6">
        <f>IFERROR(VLOOKUP("Tactical (generic)",'Strength by pathway'!$A:$AG,16,FALSE),"—")</f>
        <v/>
      </c>
      <c r="I116" s="6">
        <f>IFERROR(VLOOKUP("Tactical (generic)",'Strength by pathway'!$A:$AG,17,FALSE),"—")</f>
        <v/>
      </c>
      <c r="J116" s="9" t="inlineStr">
        <is>
          <t>Auto-adjusted from user patterns (2026-05-11)</t>
        </is>
      </c>
    </row>
    <row r="117">
      <c r="A117" s="8" t="inlineStr">
        <is>
          <t>Tactical (generic)</t>
        </is>
      </c>
      <c r="B117" s="5" t="inlineStr">
        <is>
          <t>power</t>
        </is>
      </c>
      <c r="C117" s="5" t="inlineStr">
        <is>
          <t>Power Clean</t>
        </is>
      </c>
      <c r="D117" s="6" t="inlineStr">
        <is>
          <t>kg</t>
        </is>
      </c>
      <c r="E117" s="5" t="inlineStr">
        <is>
          <t>higher-is-better</t>
        </is>
      </c>
      <c r="F117" s="6">
        <f>IFERROR(VLOOKUP("Tactical (generic)",'Strength by pathway'!$A:$AG,22,FALSE),"—")</f>
        <v/>
      </c>
      <c r="G117" s="6">
        <f>IFERROR(VLOOKUP("Tactical (generic)",'Strength by pathway'!$A:$AG,23,FALSE),"—")</f>
        <v/>
      </c>
      <c r="H117" s="6">
        <f>IFERROR(VLOOKUP("Tactical (generic)",'Strength by pathway'!$A:$AG,24,FALSE),"—")</f>
        <v/>
      </c>
      <c r="I117" s="6">
        <f>IFERROR(VLOOKUP("Tactical (generic)",'Strength by pathway'!$A:$AG,25,FALSE),"—")</f>
        <v/>
      </c>
      <c r="J117" s="9" t="inlineStr">
        <is>
          <t>Auto-adjusted from user patterns (2026-05-11)</t>
        </is>
      </c>
    </row>
    <row r="118">
      <c r="A118" s="8" t="inlineStr">
        <is>
          <t>Tactical (generic)</t>
        </is>
      </c>
      <c r="B118" s="5" t="inlineStr">
        <is>
          <t>power</t>
        </is>
      </c>
      <c r="C118" s="5" t="inlineStr">
        <is>
          <t>Broad Jump</t>
        </is>
      </c>
      <c r="D118" s="6" t="inlineStr">
        <is>
          <t>m</t>
        </is>
      </c>
      <c r="E118" s="5" t="inlineStr">
        <is>
          <t>higher-is-better</t>
        </is>
      </c>
      <c r="F118" s="6">
        <f>IFERROR(VLOOKUP("Tactical (generic)",'Strength by pathway'!$A:$AG,26,FALSE),"—")</f>
        <v/>
      </c>
      <c r="G118" s="6">
        <f>IFERROR(VLOOKUP("Tactical (generic)",'Strength by pathway'!$A:$AG,27,FALSE),"—")</f>
        <v/>
      </c>
      <c r="H118" s="6">
        <f>IFERROR(VLOOKUP("Tactical (generic)",'Strength by pathway'!$A:$AG,28,FALSE),"—")</f>
        <v/>
      </c>
      <c r="I118" s="6">
        <f>IFERROR(VLOOKUP("Tactical (generic)",'Strength by pathway'!$A:$AG,29,FALSE),"—")</f>
        <v/>
      </c>
      <c r="J118" s="9" t="inlineStr">
        <is>
          <t>Auto-adjusted from user patterns (2026-05-11)</t>
        </is>
      </c>
    </row>
    <row r="119">
      <c r="A119" s="8" t="inlineStr">
        <is>
          <t>Tactical (generic)</t>
        </is>
      </c>
      <c r="B119" s="5" t="inlineStr">
        <is>
          <t>grip</t>
        </is>
      </c>
      <c r="C119" s="5" t="inlineStr">
        <is>
          <t>Dead hang (grip)</t>
        </is>
      </c>
      <c r="D119" s="6" t="inlineStr">
        <is>
          <t>sec</t>
        </is>
      </c>
      <c r="E119" s="5" t="inlineStr">
        <is>
          <t>higher-is-better</t>
        </is>
      </c>
      <c r="F119" s="6">
        <f>IFERROR(VLOOKUP("Tactical (generic)",'Strength by pathway'!$A:$AG,30,FALSE),"—")</f>
        <v/>
      </c>
      <c r="G119" s="6">
        <f>IFERROR(VLOOKUP("Tactical (generic)",'Strength by pathway'!$A:$AG,31,FALSE),"—")</f>
        <v/>
      </c>
      <c r="H119" s="6">
        <f>IFERROR(VLOOKUP("Tactical (generic)",'Strength by pathway'!$A:$AG,32,FALSE),"—")</f>
        <v/>
      </c>
      <c r="I119" s="6">
        <f>IFERROR(VLOOKUP("Tactical (generic)",'Strength by pathway'!$A:$AG,33,FALSE),"—")</f>
        <v/>
      </c>
      <c r="J119" s="9" t="inlineStr">
        <is>
          <t>Auto-adjusted from user patterns (2026-05-11)</t>
        </is>
      </c>
    </row>
    <row r="120">
      <c r="A120" s="8" t="inlineStr">
        <is>
          <t>Tactical (generic)</t>
        </is>
      </c>
      <c r="B120" s="5" t="inlineStr">
        <is>
          <t>upper_endurance</t>
        </is>
      </c>
      <c r="C120" s="5" t="inlineStr">
        <is>
          <t>Pull-ups (no time)</t>
        </is>
      </c>
      <c r="D120" s="6" t="inlineStr">
        <is>
          <t>reps</t>
        </is>
      </c>
      <c r="E120" s="5" t="inlineStr">
        <is>
          <t>higher-is-better</t>
        </is>
      </c>
      <c r="F120" s="6" t="n">
        <v>5</v>
      </c>
      <c r="G120" s="6" t="n">
        <v>10</v>
      </c>
      <c r="H120" s="6" t="n">
        <v>15</v>
      </c>
      <c r="I120" s="6" t="n">
        <v>20</v>
      </c>
      <c r="J120" s="9" t="inlineStr">
        <is>
          <t>Auto-adjusted from user patterns (2026-05-11)</t>
        </is>
      </c>
    </row>
    <row r="121">
      <c r="A121" s="8" t="inlineStr">
        <is>
          <t>Tactical (generic)</t>
        </is>
      </c>
      <c r="B121" s="5" t="inlineStr">
        <is>
          <t>upper_endurance</t>
        </is>
      </c>
      <c r="C121" s="5" t="inlineStr">
        <is>
          <t>Push-ups (2 min)</t>
        </is>
      </c>
      <c r="D121" s="6" t="inlineStr">
        <is>
          <t>reps</t>
        </is>
      </c>
      <c r="E121" s="5" t="inlineStr">
        <is>
          <t>higher-is-better</t>
        </is>
      </c>
      <c r="F121" s="6" t="n">
        <v>50</v>
      </c>
      <c r="G121" s="6" t="n">
        <v>65</v>
      </c>
      <c r="H121" s="6" t="n">
        <v>80</v>
      </c>
      <c r="I121" s="6" t="n">
        <v>100</v>
      </c>
      <c r="J121" s="9" t="inlineStr">
        <is>
          <t>Auto-adjusted from user patterns (2026-05-11)</t>
        </is>
      </c>
    </row>
    <row r="122">
      <c r="A122" s="8" t="inlineStr">
        <is>
          <t>Tactical (generic)</t>
        </is>
      </c>
      <c r="B122" s="5" t="inlineStr">
        <is>
          <t>core_endurance</t>
        </is>
      </c>
      <c r="C122" s="5" t="inlineStr">
        <is>
          <t>Sit-ups (2 min)</t>
        </is>
      </c>
      <c r="D122" s="6" t="inlineStr">
        <is>
          <t>reps</t>
        </is>
      </c>
      <c r="E122" s="5" t="inlineStr">
        <is>
          <t>higher-is-better</t>
        </is>
      </c>
      <c r="F122" s="6" t="n">
        <v>50</v>
      </c>
      <c r="G122" s="6" t="n">
        <v>70</v>
      </c>
      <c r="H122" s="6" t="n">
        <v>85</v>
      </c>
      <c r="I122" s="6" t="n">
        <v>100</v>
      </c>
      <c r="J122" s="9" t="inlineStr">
        <is>
          <t>Auto-adjusted from user patterns (2026-05-11)</t>
        </is>
      </c>
    </row>
    <row r="123">
      <c r="A123" s="8" t="inlineStr">
        <is>
          <t>Tactical (generic)</t>
        </is>
      </c>
      <c r="B123" s="5" t="inlineStr">
        <is>
          <t>running</t>
        </is>
      </c>
      <c r="C123" s="5" t="inlineStr">
        <is>
          <t>1.5-mile run</t>
        </is>
      </c>
      <c r="D123" s="6" t="inlineStr">
        <is>
          <t>sec</t>
        </is>
      </c>
      <c r="E123" s="5" t="inlineStr">
        <is>
          <t>lower-is-better</t>
        </is>
      </c>
      <c r="F123" s="17" t="inlineStr">
        <is>
          <t>10:30</t>
        </is>
      </c>
      <c r="G123" s="17" t="inlineStr">
        <is>
          <t>10:00</t>
        </is>
      </c>
      <c r="H123" s="17" t="inlineStr">
        <is>
          <t>9:30</t>
        </is>
      </c>
      <c r="I123" s="17" t="inlineStr">
        <is>
          <t>8:50</t>
        </is>
      </c>
      <c r="J123" s="9" t="inlineStr">
        <is>
          <t>Auto-adjusted from user patterns (2026-05-11)</t>
        </is>
      </c>
    </row>
    <row r="124">
      <c r="A124" s="8" t="inlineStr">
        <is>
          <t>Tactical (generic)</t>
        </is>
      </c>
      <c r="B124" s="5" t="inlineStr">
        <is>
          <t>rucking</t>
        </is>
      </c>
      <c r="C124" s="5" t="inlineStr">
        <is>
          <t>12-mile ruck</t>
        </is>
      </c>
      <c r="D124" s="6" t="inlineStr">
        <is>
          <t>sec</t>
        </is>
      </c>
      <c r="E124" s="5" t="inlineStr">
        <is>
          <t>lower-is-better</t>
        </is>
      </c>
      <c r="F124" s="6" t="inlineStr">
        <is>
          <t>1:50:00</t>
        </is>
      </c>
      <c r="G124" s="6" t="inlineStr">
        <is>
          <t>1:45:00</t>
        </is>
      </c>
      <c r="H124" s="6" t="inlineStr">
        <is>
          <t>1:40:00</t>
        </is>
      </c>
      <c r="I124" s="6" t="inlineStr">
        <is>
          <t>1:35:00</t>
        </is>
      </c>
      <c r="J124" s="9" t="inlineStr">
        <is>
          <t>Auto-adjusted from user patterns (2026-05-11)</t>
        </is>
      </c>
    </row>
    <row r="125">
      <c r="A125" s="8" t="inlineStr">
        <is>
          <t>Tactical (generic)</t>
        </is>
      </c>
      <c r="B125" s="5" t="inlineStr">
        <is>
          <t>stability</t>
        </is>
      </c>
      <c r="C125" s="5" t="inlineStr">
        <is>
          <t>Plank (front)</t>
        </is>
      </c>
      <c r="D125" s="6" t="inlineStr">
        <is>
          <t>sec</t>
        </is>
      </c>
      <c r="E125" s="5" t="inlineStr">
        <is>
          <t>higher-is-better</t>
        </is>
      </c>
      <c r="F125" s="6" t="inlineStr">
        <is>
          <t>1:30</t>
        </is>
      </c>
      <c r="G125" s="6" t="inlineStr">
        <is>
          <t>2:30</t>
        </is>
      </c>
      <c r="H125" s="6" t="inlineStr">
        <is>
          <t>3:30</t>
        </is>
      </c>
      <c r="I125" s="6" t="inlineStr">
        <is>
          <t>4:30</t>
        </is>
      </c>
      <c r="J125" s="9" t="inlineStr">
        <is>
          <t>Auto-adjusted from user patterns (2026-05-11)</t>
        </is>
      </c>
    </row>
    <row r="126">
      <c r="A126" s="13" t="inlineStr">
        <is>
          <t>Tactical (generic)</t>
        </is>
      </c>
      <c r="B126" s="14" t="inlineStr">
        <is>
          <t>stability</t>
        </is>
      </c>
      <c r="C126" s="14" t="inlineStr">
        <is>
          <t>Side plank (per side)</t>
        </is>
      </c>
      <c r="D126" s="15" t="inlineStr">
        <is>
          <t>sec</t>
        </is>
      </c>
      <c r="E126" s="14" t="inlineStr">
        <is>
          <t>higher-is-better</t>
        </is>
      </c>
      <c r="F126" s="15" t="inlineStr">
        <is>
          <t>1:00</t>
        </is>
      </c>
      <c r="G126" s="15" t="inlineStr">
        <is>
          <t>1:30</t>
        </is>
      </c>
      <c r="H126" s="15" t="inlineStr">
        <is>
          <t>2:00</t>
        </is>
      </c>
      <c r="I126" s="15" t="inlineStr">
        <is>
          <t>3:00</t>
        </is>
      </c>
      <c r="J126" s="16" t="inlineStr">
        <is>
          <t>Auto-adjusted from user patterns (2026-05-11)</t>
        </is>
      </c>
    </row>
    <row r="127">
      <c r="A127" t="inlineStr">
        <is>
          <t>UK Police JRFT</t>
        </is>
      </c>
      <c r="B127" t="inlineStr">
        <is>
          <t>running</t>
        </is>
      </c>
      <c r="C127" t="inlineStr">
        <is>
          <t>Multi-stage bleep test</t>
        </is>
      </c>
      <c r="D127" t="inlineStr">
        <is>
          <t>level</t>
        </is>
      </c>
      <c r="E127" t="inlineStr">
        <is>
          <t>higher-is-better</t>
        </is>
      </c>
      <c r="F127" t="n">
        <v>5.4</v>
      </c>
      <c r="G127" t="n">
        <v>7.6</v>
      </c>
      <c r="H127" t="n">
        <v>10</v>
      </c>
      <c r="J127" t="inlineStr">
        <is>
          <t>College of Policing 2024 IST. Pass = 5.4 (endurance minimum).</t>
        </is>
      </c>
      <c r="K127" t="inlineStr">
        <is>
          <t>synced 2026-05-21 from benchmark_tests.ts</t>
        </is>
      </c>
    </row>
    <row r="128">
      <c r="A128" t="inlineStr">
        <is>
          <t>UK Police JRFT</t>
        </is>
      </c>
      <c r="B128" t="inlineStr">
        <is>
          <t>upper_strength</t>
        </is>
      </c>
      <c r="C128" t="inlineStr">
        <is>
          <t>Push (dynamometer)</t>
        </is>
      </c>
      <c r="D128" t="inlineStr">
        <is>
          <t>kg</t>
        </is>
      </c>
      <c r="E128" t="inlineStr">
        <is>
          <t>higher-is-better</t>
        </is>
      </c>
      <c r="F128" t="n">
        <v>34</v>
      </c>
      <c r="J128" t="inlineStr">
        <is>
          <t>Push test minimum force. College of Policing.</t>
        </is>
      </c>
    </row>
    <row r="129">
      <c r="A129" t="inlineStr">
        <is>
          <t>UK Police JRFT</t>
        </is>
      </c>
      <c r="B129" t="inlineStr">
        <is>
          <t>upper_strength</t>
        </is>
      </c>
      <c r="C129" t="inlineStr">
        <is>
          <t>Pull (dynamometer)</t>
        </is>
      </c>
      <c r="D129" t="inlineStr">
        <is>
          <t>kg</t>
        </is>
      </c>
      <c r="E129" t="inlineStr">
        <is>
          <t>higher-is-better</t>
        </is>
      </c>
      <c r="F129" t="n">
        <v>35</v>
      </c>
      <c r="J129" t="inlineStr">
        <is>
          <t>Pull test minimum force. College of Policing.</t>
        </is>
      </c>
    </row>
    <row r="130">
      <c r="A130" t="inlineStr">
        <is>
          <t>US Police PFT</t>
        </is>
      </c>
      <c r="B130" t="inlineStr">
        <is>
          <t>running</t>
        </is>
      </c>
      <c r="C130" t="inlineStr">
        <is>
          <t>1.5-mile run</t>
        </is>
      </c>
      <c r="D130" t="inlineStr">
        <is>
          <t>min:sec</t>
        </is>
      </c>
      <c r="E130" t="inlineStr">
        <is>
          <t>lower-is-better</t>
        </is>
      </c>
      <c r="F130" t="inlineStr">
        <is>
          <t>14:00</t>
        </is>
      </c>
      <c r="G130" t="inlineStr">
        <is>
          <t>12:00</t>
        </is>
      </c>
      <c r="H130" t="inlineStr">
        <is>
          <t>10:30</t>
        </is>
      </c>
      <c r="J130" t="inlineStr">
        <is>
          <t>Cooper Institute / POST standards. Varies by agency.</t>
        </is>
      </c>
      <c r="K130" t="inlineStr">
        <is>
          <t>synced 2026-05-21 from benchmark_tests.ts</t>
        </is>
      </c>
    </row>
    <row r="131">
      <c r="A131" t="inlineStr">
        <is>
          <t>US Police PFT</t>
        </is>
      </c>
      <c r="B131" t="inlineStr">
        <is>
          <t>upper_endurance</t>
        </is>
      </c>
      <c r="C131" t="inlineStr">
        <is>
          <t>Push-ups (1 min)</t>
        </is>
      </c>
      <c r="D131" t="inlineStr">
        <is>
          <t>reps</t>
        </is>
      </c>
      <c r="E131" t="inlineStr">
        <is>
          <t>higher-is-better</t>
        </is>
      </c>
      <c r="F131" t="n">
        <v>25</v>
      </c>
      <c r="G131" t="n">
        <v>40</v>
      </c>
      <c r="H131" t="n">
        <v>56</v>
      </c>
      <c r="J131" t="inlineStr">
        <is>
          <t>Cooper Institute / POST.</t>
        </is>
      </c>
    </row>
    <row r="132">
      <c r="A132" t="inlineStr">
        <is>
          <t>US Police PFT</t>
        </is>
      </c>
      <c r="B132" t="inlineStr">
        <is>
          <t>core_endurance</t>
        </is>
      </c>
      <c r="C132" t="inlineStr">
        <is>
          <t>Sit-ups (1 min)</t>
        </is>
      </c>
      <c r="D132" t="inlineStr">
        <is>
          <t>reps</t>
        </is>
      </c>
      <c r="E132" t="inlineStr">
        <is>
          <t>higher-is-better</t>
        </is>
      </c>
      <c r="F132" t="n">
        <v>30</v>
      </c>
      <c r="G132" t="n">
        <v>40</v>
      </c>
      <c r="H132" t="n">
        <v>50</v>
      </c>
      <c r="J132" t="inlineStr">
        <is>
          <t>Cooper Institute / POST.</t>
        </is>
      </c>
    </row>
    <row r="133">
      <c r="A133" t="inlineStr">
        <is>
          <t>US Police PFT</t>
        </is>
      </c>
      <c r="B133" t="inlineStr">
        <is>
          <t>power</t>
        </is>
      </c>
      <c r="C133" t="inlineStr">
        <is>
          <t>Vertical jump</t>
        </is>
      </c>
      <c r="D133" t="inlineStr">
        <is>
          <t>inches</t>
        </is>
      </c>
      <c r="E133" t="inlineStr">
        <is>
          <t>higher-is-better</t>
        </is>
      </c>
      <c r="F133" t="n">
        <v>14</v>
      </c>
      <c r="G133" t="n">
        <v>19</v>
      </c>
      <c r="H133" t="n">
        <v>24</v>
      </c>
      <c r="J133" t="inlineStr">
        <is>
          <t>Cooper Institute / POST.</t>
        </is>
      </c>
    </row>
    <row r="134">
      <c r="A134" t="inlineStr">
        <is>
          <t>UK ARU / SCO19</t>
        </is>
      </c>
      <c r="B134" t="inlineStr">
        <is>
          <t>running</t>
        </is>
      </c>
      <c r="C134" t="inlineStr">
        <is>
          <t>Bleep test (with armour vest ~7 kg)</t>
        </is>
      </c>
      <c r="D134" t="inlineStr">
        <is>
          <t>level</t>
        </is>
      </c>
      <c r="E134" t="inlineStr">
        <is>
          <t>higher-is-better</t>
        </is>
      </c>
      <c r="F134" t="n">
        <v>7.6</v>
      </c>
      <c r="G134" t="n">
        <v>9</v>
      </c>
      <c r="H134" t="n">
        <v>10.5</v>
      </c>
      <c r="J134" t="inlineStr">
        <is>
          <t>AFO entry 7.6; SCO19 competitive 9.0. AFOM standards.</t>
        </is>
      </c>
      <c r="K134" t="inlineStr">
        <is>
          <t>synced 2026-05-21 from benchmark_tests.ts</t>
        </is>
      </c>
    </row>
    <row r="135">
      <c r="A135" t="inlineStr">
        <is>
          <t>UK ARU / SCO19</t>
        </is>
      </c>
      <c r="B135" t="inlineStr">
        <is>
          <t>upper_endurance</t>
        </is>
      </c>
      <c r="C135" t="inlineStr">
        <is>
          <t>Push-ups (1 min)</t>
        </is>
      </c>
      <c r="D135" t="inlineStr">
        <is>
          <t>reps</t>
        </is>
      </c>
      <c r="E135" t="inlineStr">
        <is>
          <t>higher-is-better</t>
        </is>
      </c>
      <c r="F135" t="n">
        <v>30</v>
      </c>
      <c r="G135" t="n">
        <v>50</v>
      </c>
      <c r="J135" t="inlineStr">
        <is>
          <t>AFO entry pass; SCO19 competitive at 50.</t>
        </is>
      </c>
    </row>
    <row r="136">
      <c r="A136" t="inlineStr">
        <is>
          <t>UK ARU / SCO19</t>
        </is>
      </c>
      <c r="B136" t="inlineStr">
        <is>
          <t>upper_endurance</t>
        </is>
      </c>
      <c r="C136" t="inlineStr">
        <is>
          <t>Pull-ups</t>
        </is>
      </c>
      <c r="D136" t="inlineStr">
        <is>
          <t>reps</t>
        </is>
      </c>
      <c r="E136" t="inlineStr">
        <is>
          <t>higher-is-better</t>
        </is>
      </c>
      <c r="F136" t="n">
        <v>6</v>
      </c>
      <c r="G136" t="n">
        <v>10</v>
      </c>
      <c r="J136" t="inlineStr">
        <is>
          <t>AFO entry pass; SCO19 competitive at 10.</t>
        </is>
      </c>
    </row>
    <row r="137">
      <c r="A137" t="inlineStr">
        <is>
          <t>UK ARU / SCO19</t>
        </is>
      </c>
      <c r="B137" t="inlineStr">
        <is>
          <t>running</t>
        </is>
      </c>
      <c r="C137" t="inlineStr">
        <is>
          <t>Vested 1-mile run (~7 kg)</t>
        </is>
      </c>
      <c r="D137" t="inlineStr">
        <is>
          <t>min:sec</t>
        </is>
      </c>
      <c r="E137" t="inlineStr">
        <is>
          <t>lower-is-better</t>
        </is>
      </c>
      <c r="F137" t="inlineStr">
        <is>
          <t>9:00</t>
        </is>
      </c>
      <c r="G137" t="inlineStr">
        <is>
          <t>7:30</t>
        </is>
      </c>
      <c r="J137" t="inlineStr">
        <is>
          <t>AFO entry; SCO19 competitive at 7:30.</t>
        </is>
      </c>
    </row>
    <row r="138">
      <c r="A138" t="inlineStr">
        <is>
          <t>UK ARU / SCO19</t>
        </is>
      </c>
      <c r="B138" t="inlineStr">
        <is>
          <t>power</t>
        </is>
      </c>
      <c r="C138" t="inlineStr">
        <is>
          <t>Casualty drag (75 kg dummy, 15 m)</t>
        </is>
      </c>
      <c r="D138" t="inlineStr">
        <is>
          <t>sec</t>
        </is>
      </c>
      <c r="E138" t="inlineStr">
        <is>
          <t>lower-is-better</t>
        </is>
      </c>
      <c r="F138" t="n">
        <v>30</v>
      </c>
      <c r="G138" t="n">
        <v>18</v>
      </c>
      <c r="J138" t="inlineStr">
        <is>
          <t>AFO entry under 30 s; SCO19 competitive under 18 s.</t>
        </is>
      </c>
    </row>
    <row r="139">
      <c r="A139" t="inlineStr">
        <is>
          <t>US SWAT</t>
        </is>
      </c>
      <c r="B139" t="inlineStr">
        <is>
          <t>running</t>
        </is>
      </c>
      <c r="C139" t="inlineStr">
        <is>
          <t>1.5-mile run</t>
        </is>
      </c>
      <c r="D139" t="inlineStr">
        <is>
          <t>min:sec</t>
        </is>
      </c>
      <c r="E139" t="inlineStr">
        <is>
          <t>lower-is-better</t>
        </is>
      </c>
      <c r="F139" t="inlineStr">
        <is>
          <t>12:00</t>
        </is>
      </c>
      <c r="G139" t="inlineStr">
        <is>
          <t>10:30</t>
        </is>
      </c>
      <c r="H139" t="inlineStr">
        <is>
          <t>9:30</t>
        </is>
      </c>
      <c r="J139" t="inlineStr">
        <is>
          <t>LAPD SWAT minimum; HRT competitive at 10:30.</t>
        </is>
      </c>
      <c r="K139" t="inlineStr">
        <is>
          <t>synced 2026-05-21 from benchmark_tests.ts</t>
        </is>
      </c>
    </row>
    <row r="140">
      <c r="A140" t="inlineStr">
        <is>
          <t>US SWAT</t>
        </is>
      </c>
      <c r="B140" t="inlineStr">
        <is>
          <t>upper_endurance</t>
        </is>
      </c>
      <c r="C140" t="inlineStr">
        <is>
          <t>Pull-ups</t>
        </is>
      </c>
      <c r="D140" t="inlineStr">
        <is>
          <t>reps</t>
        </is>
      </c>
      <c r="E140" t="inlineStr">
        <is>
          <t>higher-is-better</t>
        </is>
      </c>
      <c r="F140" t="n">
        <v>12</v>
      </c>
      <c r="G140" t="n">
        <v>18</v>
      </c>
      <c r="H140" t="n">
        <v>25</v>
      </c>
      <c r="J140" t="inlineStr">
        <is>
          <t>LAPD SWAT min; HRT competitive 18; excellent 25.</t>
        </is>
      </c>
    </row>
    <row r="141">
      <c r="A141" t="inlineStr">
        <is>
          <t>US SWAT</t>
        </is>
      </c>
      <c r="B141" t="inlineStr">
        <is>
          <t>upper_endurance</t>
        </is>
      </c>
      <c r="C141" t="inlineStr">
        <is>
          <t>Push-ups (1 min)</t>
        </is>
      </c>
      <c r="D141" t="inlineStr">
        <is>
          <t>reps</t>
        </is>
      </c>
      <c r="E141" t="inlineStr">
        <is>
          <t>higher-is-better</t>
        </is>
      </c>
      <c r="F141" t="n">
        <v>50</v>
      </c>
      <c r="G141" t="n">
        <v>70</v>
      </c>
      <c r="H141" t="n">
        <v>90</v>
      </c>
      <c r="J141" t="inlineStr">
        <is>
          <t>LAPD SWAT min; HRT competitive 70.</t>
        </is>
      </c>
    </row>
    <row r="142">
      <c r="A142" t="inlineStr">
        <is>
          <t>US SWAT</t>
        </is>
      </c>
      <c r="B142" t="inlineStr">
        <is>
          <t>core_endurance</t>
        </is>
      </c>
      <c r="C142" t="inlineStr">
        <is>
          <t>Sit-ups (2 min)</t>
        </is>
      </c>
      <c r="D142" t="inlineStr">
        <is>
          <t>reps</t>
        </is>
      </c>
      <c r="E142" t="inlineStr">
        <is>
          <t>higher-is-better</t>
        </is>
      </c>
      <c r="F142" t="n">
        <v>60</v>
      </c>
      <c r="G142" t="n">
        <v>80</v>
      </c>
      <c r="H142" t="n">
        <v>100</v>
      </c>
      <c r="J142" t="inlineStr">
        <is>
          <t>LAPD SWAT min; HRT competitive 80.</t>
        </is>
      </c>
    </row>
    <row r="143">
      <c r="A143" t="inlineStr">
        <is>
          <t>US SWAT</t>
        </is>
      </c>
      <c r="B143" t="inlineStr">
        <is>
          <t>upper_strength</t>
        </is>
      </c>
      <c r="C143" t="inlineStr">
        <is>
          <t>Bench press (× bodyweight)</t>
        </is>
      </c>
      <c r="D143" t="inlineStr">
        <is>
          <t>multiplier</t>
        </is>
      </c>
      <c r="E143" t="inlineStr">
        <is>
          <t>higher-is-better</t>
        </is>
      </c>
      <c r="F143" t="n">
        <v>1</v>
      </c>
      <c r="G143" t="n">
        <v>1.25</v>
      </c>
      <c r="H143" t="n">
        <v>1.5</v>
      </c>
      <c r="J143" t="inlineStr">
        <is>
          <t>Tactical Officer strength target. 1× BW entry, 1.5× BW excellent.</t>
        </is>
      </c>
    </row>
    <row r="144">
      <c r="A144" t="inlineStr">
        <is>
          <t>US SWAT</t>
        </is>
      </c>
      <c r="B144" t="inlineStr">
        <is>
          <t>running</t>
        </is>
      </c>
      <c r="C144" t="inlineStr">
        <is>
          <t>Tactical obstacle course (full kit ~25 lb)</t>
        </is>
      </c>
      <c r="D144" t="inlineStr">
        <is>
          <t>min:sec</t>
        </is>
      </c>
      <c r="E144" t="inlineStr">
        <is>
          <t>lower-is-better</t>
        </is>
      </c>
      <c r="F144" t="inlineStr">
        <is>
          <t>5:30</t>
        </is>
      </c>
      <c r="G144" t="inlineStr">
        <is>
          <t>4:30</t>
        </is>
      </c>
      <c r="J144" t="inlineStr">
        <is>
          <t>LAPD SWAT vested obstacle course.</t>
        </is>
      </c>
    </row>
    <row r="145">
      <c r="A145" t="inlineStr">
        <is>
          <t>Police PT</t>
        </is>
      </c>
      <c r="B145" t="inlineStr">
        <is>
          <t>running</t>
        </is>
      </c>
      <c r="C145" t="inlineStr">
        <is>
          <t>1.5-mile run</t>
        </is>
      </c>
      <c r="D145" t="inlineStr">
        <is>
          <t>sec</t>
        </is>
      </c>
      <c r="E145" t="inlineStr">
        <is>
          <t>lower-is-better</t>
        </is>
      </c>
      <c r="F145" t="inlineStr">
        <is>
          <t>12:30</t>
        </is>
      </c>
      <c r="G145" t="inlineStr">
        <is>
          <t>11:30</t>
        </is>
      </c>
      <c r="H145" t="inlineStr">
        <is>
          <t>10:30</t>
        </is>
      </c>
      <c r="I145" t="inlineStr">
        <is>
          <t>9:30</t>
        </is>
      </c>
      <c r="J145" t="inlineStr">
        <is>
          <t>Cooper Institute LE PT.</t>
        </is>
      </c>
      <c r="K145" t="inlineStr">
        <is>
          <t>not in app — xlsx canonical</t>
        </is>
      </c>
    </row>
    <row r="146">
      <c r="A146" t="inlineStr">
        <is>
          <t>Police PT</t>
        </is>
      </c>
      <c r="B146" t="inlineStr">
        <is>
          <t>lower_strength</t>
        </is>
      </c>
      <c r="C146" t="inlineStr">
        <is>
          <t>Back Squat</t>
        </is>
      </c>
      <c r="D146" t="inlineStr">
        <is>
          <t>kg</t>
        </is>
      </c>
      <c r="E146" t="inlineStr">
        <is>
          <t>higher-is-better</t>
        </is>
      </c>
      <c r="F146">
        <f>IFERROR(VLOOKUP("Police PT",'Strength by pathway'!$A:$AG,2,FALSE),"—")</f>
        <v/>
      </c>
      <c r="G146">
        <f>IFERROR(VLOOKUP("Police PT",'Strength by pathway'!$A:$AG,3,FALSE),"—")</f>
        <v/>
      </c>
      <c r="H146">
        <f>IFERROR(VLOOKUP("Police PT",'Strength by pathway'!$A:$AG,4,FALSE),"—")</f>
        <v/>
      </c>
      <c r="I146">
        <f>IFERROR(VLOOKUP("Police PT",'Strength by pathway'!$A:$AG,5,FALSE),"—")</f>
        <v/>
      </c>
    </row>
    <row r="147">
      <c r="A147" t="inlineStr">
        <is>
          <t>Police PT</t>
        </is>
      </c>
      <c r="B147" t="inlineStr">
        <is>
          <t>lower_strength</t>
        </is>
      </c>
      <c r="C147" t="inlineStr">
        <is>
          <t>Hex-bar DL</t>
        </is>
      </c>
      <c r="D147" t="inlineStr">
        <is>
          <t>kg</t>
        </is>
      </c>
      <c r="E147" t="inlineStr">
        <is>
          <t>higher-is-better</t>
        </is>
      </c>
      <c r="F147">
        <f>IFERROR(VLOOKUP("Police PT",'Strength by pathway'!$A:$AG,6,FALSE),"—")</f>
        <v/>
      </c>
      <c r="G147">
        <f>IFERROR(VLOOKUP("Police PT",'Strength by pathway'!$A:$AG,7,FALSE),"—")</f>
        <v/>
      </c>
      <c r="H147">
        <f>IFERROR(VLOOKUP("Police PT",'Strength by pathway'!$A:$AG,8,FALSE),"—")</f>
        <v/>
      </c>
      <c r="I147">
        <f>IFERROR(VLOOKUP("Police PT",'Strength by pathway'!$A:$AG,9,FALSE),"—")</f>
        <v/>
      </c>
    </row>
    <row r="148">
      <c r="A148" t="inlineStr">
        <is>
          <t>Police PT</t>
        </is>
      </c>
      <c r="B148" t="inlineStr">
        <is>
          <t>lower_strength</t>
        </is>
      </c>
      <c r="C148" t="inlineStr">
        <is>
          <t>Conventional DL</t>
        </is>
      </c>
      <c r="D148" t="inlineStr">
        <is>
          <t>kg</t>
        </is>
      </c>
      <c r="E148" t="inlineStr">
        <is>
          <t>higher-is-better</t>
        </is>
      </c>
      <c r="F148">
        <f>IFERROR(VLOOKUP("Police PT",'Strength by pathway'!$A:$AG,10,FALSE),"—")</f>
        <v/>
      </c>
      <c r="G148">
        <f>IFERROR(VLOOKUP("Police PT",'Strength by pathway'!$A:$AG,11,FALSE),"—")</f>
        <v/>
      </c>
      <c r="H148">
        <f>IFERROR(VLOOKUP("Police PT",'Strength by pathway'!$A:$AG,12,FALSE),"—")</f>
        <v/>
      </c>
      <c r="I148">
        <f>IFERROR(VLOOKUP("Police PT",'Strength by pathway'!$A:$AG,13,FALSE),"—")</f>
        <v/>
      </c>
    </row>
    <row r="149">
      <c r="A149" t="inlineStr">
        <is>
          <t>Police PT</t>
        </is>
      </c>
      <c r="B149" t="inlineStr">
        <is>
          <t>upper_strength</t>
        </is>
      </c>
      <c r="C149" t="inlineStr">
        <is>
          <t>Bench Press</t>
        </is>
      </c>
      <c r="D149" t="inlineStr">
        <is>
          <t>kg</t>
        </is>
      </c>
      <c r="E149" t="inlineStr">
        <is>
          <t>higher-is-better</t>
        </is>
      </c>
      <c r="F149">
        <f>IFERROR(VLOOKUP("Police PT",'Strength by pathway'!$A:$AG,14,FALSE),"—")</f>
        <v/>
      </c>
      <c r="G149">
        <f>IFERROR(VLOOKUP("Police PT",'Strength by pathway'!$A:$AG,15,FALSE),"—")</f>
        <v/>
      </c>
      <c r="H149">
        <f>IFERROR(VLOOKUP("Police PT",'Strength by pathway'!$A:$AG,16,FALSE),"—")</f>
        <v/>
      </c>
      <c r="I149">
        <f>IFERROR(VLOOKUP("Police PT",'Strength by pathway'!$A:$AG,17,FALSE),"—")</f>
        <v/>
      </c>
    </row>
    <row r="150">
      <c r="A150" t="inlineStr">
        <is>
          <t>Police PT</t>
        </is>
      </c>
      <c r="B150" t="inlineStr">
        <is>
          <t>upper_endurance</t>
        </is>
      </c>
      <c r="C150" t="inlineStr">
        <is>
          <t>Pull-ups (no time)</t>
        </is>
      </c>
      <c r="D150" t="inlineStr">
        <is>
          <t>reps</t>
        </is>
      </c>
      <c r="E150" t="inlineStr">
        <is>
          <t>higher-is-better</t>
        </is>
      </c>
      <c r="F150" t="n">
        <v>4</v>
      </c>
      <c r="G150" t="n">
        <v>8</v>
      </c>
      <c r="H150" t="n">
        <v>12</v>
      </c>
      <c r="I150" t="n">
        <v>15</v>
      </c>
      <c r="J150" t="inlineStr">
        <is>
          <t>FBI / Cooper LE standard.</t>
        </is>
      </c>
    </row>
    <row r="151">
      <c r="A151" t="inlineStr">
        <is>
          <t>Police PT</t>
        </is>
      </c>
      <c r="B151" t="inlineStr">
        <is>
          <t>upper_endurance</t>
        </is>
      </c>
      <c r="C151" t="inlineStr">
        <is>
          <t>Push-ups (1 min)</t>
        </is>
      </c>
      <c r="D151" t="inlineStr">
        <is>
          <t>reps</t>
        </is>
      </c>
      <c r="E151" t="inlineStr">
        <is>
          <t>higher-is-better</t>
        </is>
      </c>
      <c r="F151" t="n">
        <v>30</v>
      </c>
      <c r="G151" t="n">
        <v>45</v>
      </c>
      <c r="H151" t="n">
        <v>60</v>
      </c>
      <c r="I151" t="n">
        <v>75</v>
      </c>
    </row>
    <row r="152">
      <c r="A152" t="inlineStr">
        <is>
          <t>Police PT</t>
        </is>
      </c>
      <c r="B152" t="inlineStr">
        <is>
          <t>core_endurance</t>
        </is>
      </c>
      <c r="C152" t="inlineStr">
        <is>
          <t>Sit-ups (1 min)</t>
        </is>
      </c>
      <c r="D152" t="inlineStr">
        <is>
          <t>reps</t>
        </is>
      </c>
      <c r="E152" t="inlineStr">
        <is>
          <t>higher-is-better</t>
        </is>
      </c>
      <c r="F152" t="n">
        <v>30</v>
      </c>
      <c r="G152" t="n">
        <v>45</v>
      </c>
      <c r="H152" t="n">
        <v>60</v>
      </c>
      <c r="I152" t="n">
        <v>75</v>
      </c>
    </row>
    <row r="153">
      <c r="A153" t="inlineStr">
        <is>
          <t>Police PT</t>
        </is>
      </c>
      <c r="B153" t="inlineStr">
        <is>
          <t>stability</t>
        </is>
      </c>
      <c r="C153" t="inlineStr">
        <is>
          <t>Plank (front)</t>
        </is>
      </c>
      <c r="D153" t="inlineStr">
        <is>
          <t>sec</t>
        </is>
      </c>
      <c r="E153" t="inlineStr">
        <is>
          <t>higher-is-better</t>
        </is>
      </c>
      <c r="F153" t="inlineStr">
        <is>
          <t>1:00</t>
        </is>
      </c>
      <c r="G153" t="inlineStr">
        <is>
          <t>1:30</t>
        </is>
      </c>
      <c r="H153" t="inlineStr">
        <is>
          <t>2:30</t>
        </is>
      </c>
      <c r="I153" t="inlineStr">
        <is>
          <t>3:30</t>
        </is>
      </c>
    </row>
    <row r="154">
      <c r="A154" t="inlineStr">
        <is>
          <t>Police PT</t>
        </is>
      </c>
      <c r="B154" t="inlineStr">
        <is>
          <t>stability</t>
        </is>
      </c>
      <c r="C154" t="inlineStr">
        <is>
          <t>Side plank (per side)</t>
        </is>
      </c>
      <c r="D154" t="inlineStr">
        <is>
          <t>sec</t>
        </is>
      </c>
      <c r="E154" t="inlineStr">
        <is>
          <t>higher-is-better</t>
        </is>
      </c>
      <c r="F154" t="inlineStr">
        <is>
          <t>0:45</t>
        </is>
      </c>
      <c r="G154" t="inlineStr">
        <is>
          <t>1:00</t>
        </is>
      </c>
      <c r="H154" t="inlineStr">
        <is>
          <t>1:30</t>
        </is>
      </c>
      <c r="I154" t="inlineStr">
        <is>
          <t>2:00</t>
        </is>
      </c>
    </row>
    <row r="155">
      <c r="A155" t="inlineStr">
        <is>
          <t>Police PT</t>
        </is>
      </c>
      <c r="B155" t="inlineStr">
        <is>
          <t>grip</t>
        </is>
      </c>
      <c r="C155" t="inlineStr">
        <is>
          <t>Dead hang (grip)</t>
        </is>
      </c>
      <c r="D155" t="inlineStr">
        <is>
          <t>sec</t>
        </is>
      </c>
      <c r="E155" t="inlineStr">
        <is>
          <t>higher-is-better</t>
        </is>
      </c>
      <c r="F155">
        <f>IFERROR(VLOOKUP("Police PT",'Strength by pathway'!$A:$AG,30,FALSE),"—")</f>
        <v/>
      </c>
      <c r="G155">
        <f>IFERROR(VLOOKUP("Police PT",'Strength by pathway'!$A:$AG,31,FALSE),"—")</f>
        <v/>
      </c>
      <c r="H155">
        <f>IFERROR(VLOOKUP("Police PT",'Strength by pathway'!$A:$AG,32,FALSE),"—")</f>
        <v/>
      </c>
      <c r="I155">
        <f>IFERROR(VLOOKUP("Police PT",'Strength by pathway'!$A:$AG,33,FALSE),"—")</f>
        <v/>
      </c>
      <c r="J155" t="inlineStr">
        <is>
          <t>Weapon retention + grappling.</t>
        </is>
      </c>
    </row>
    <row r="156">
      <c r="A156" t="inlineStr">
        <is>
          <t>Police PT</t>
        </is>
      </c>
      <c r="B156" t="inlineStr">
        <is>
          <t>power</t>
        </is>
      </c>
      <c r="C156" t="inlineStr">
        <is>
          <t>Power Clean</t>
        </is>
      </c>
      <c r="D156" t="inlineStr">
        <is>
          <t>kg</t>
        </is>
      </c>
      <c r="E156" t="inlineStr">
        <is>
          <t>higher-is-better</t>
        </is>
      </c>
      <c r="F156">
        <f>IFERROR(VLOOKUP("Police PT",'Strength by pathway'!$A:$AG,22,FALSE),"—")</f>
        <v/>
      </c>
      <c r="G156">
        <f>IFERROR(VLOOKUP("Police PT",'Strength by pathway'!$A:$AG,23,FALSE),"—")</f>
        <v/>
      </c>
      <c r="H156">
        <f>IFERROR(VLOOKUP("Police PT",'Strength by pathway'!$A:$AG,24,FALSE),"—")</f>
        <v/>
      </c>
      <c r="I156">
        <f>IFERROR(VLOOKUP("Police PT",'Strength by pathway'!$A:$AG,25,FALSE),"—")</f>
        <v/>
      </c>
    </row>
    <row r="157">
      <c r="A157" t="inlineStr">
        <is>
          <t>Police PT</t>
        </is>
      </c>
      <c r="B157" t="inlineStr">
        <is>
          <t>power</t>
        </is>
      </c>
      <c r="C157" t="inlineStr">
        <is>
          <t>Broad Jump</t>
        </is>
      </c>
      <c r="D157" t="inlineStr">
        <is>
          <t>m</t>
        </is>
      </c>
      <c r="E157" t="inlineStr">
        <is>
          <t>higher-is-better</t>
        </is>
      </c>
      <c r="F157">
        <f>IFERROR(VLOOKUP("Police PT",'Strength by pathway'!$A:$AG,26,FALSE),"—")</f>
        <v/>
      </c>
      <c r="G157">
        <f>IFERROR(VLOOKUP("Police PT",'Strength by pathway'!$A:$AG,27,FALSE),"—")</f>
        <v/>
      </c>
      <c r="H157">
        <f>IFERROR(VLOOKUP("Police PT",'Strength by pathway'!$A:$AG,28,FALSE),"—")</f>
        <v/>
      </c>
      <c r="I157">
        <f>IFERROR(VLOOKUP("Police PT",'Strength by pathway'!$A:$AG,29,FALSE),"—")</f>
        <v/>
      </c>
    </row>
    <row r="158">
      <c r="A158" t="inlineStr">
        <is>
          <t>SWAT / Tactical Team</t>
        </is>
      </c>
      <c r="B158" t="inlineStr">
        <is>
          <t>running</t>
        </is>
      </c>
      <c r="C158" t="inlineStr">
        <is>
          <t>1.5-mile run</t>
        </is>
      </c>
      <c r="D158" t="inlineStr">
        <is>
          <t>sec</t>
        </is>
      </c>
      <c r="E158" t="inlineStr">
        <is>
          <t>lower-is-better</t>
        </is>
      </c>
      <c r="F158" t="inlineStr">
        <is>
          <t>11:00</t>
        </is>
      </c>
      <c r="G158" t="inlineStr">
        <is>
          <t>10:00</t>
        </is>
      </c>
      <c r="H158" t="inlineStr">
        <is>
          <t>9:00</t>
        </is>
      </c>
      <c r="I158" t="inlineStr">
        <is>
          <t>8:30</t>
        </is>
      </c>
      <c r="J158" t="inlineStr">
        <is>
          <t>LAPD SWAT entry pass.</t>
        </is>
      </c>
      <c r="K158" t="inlineStr">
        <is>
          <t>not in app — xlsx canonical</t>
        </is>
      </c>
    </row>
    <row r="159">
      <c r="A159" t="inlineStr">
        <is>
          <t>SWAT / Tactical Team</t>
        </is>
      </c>
      <c r="B159" t="inlineStr">
        <is>
          <t>lower_strength</t>
        </is>
      </c>
      <c r="C159" t="inlineStr">
        <is>
          <t>Back Squat</t>
        </is>
      </c>
      <c r="D159" t="inlineStr">
        <is>
          <t>kg</t>
        </is>
      </c>
      <c r="E159" t="inlineStr">
        <is>
          <t>higher-is-better</t>
        </is>
      </c>
      <c r="F159">
        <f>IFERROR(VLOOKUP("SWAT / Tactical Team",'Strength by pathway'!$A:$AG,2,FALSE),"—")</f>
        <v/>
      </c>
      <c r="G159">
        <f>IFERROR(VLOOKUP("SWAT / Tactical Team",'Strength by pathway'!$A:$AG,3,FALSE),"—")</f>
        <v/>
      </c>
      <c r="H159">
        <f>IFERROR(VLOOKUP("SWAT / Tactical Team",'Strength by pathway'!$A:$AG,4,FALSE),"—")</f>
        <v/>
      </c>
      <c r="I159">
        <f>IFERROR(VLOOKUP("SWAT / Tactical Team",'Strength by pathway'!$A:$AG,5,FALSE),"—")</f>
        <v/>
      </c>
    </row>
    <row r="160">
      <c r="A160" t="inlineStr">
        <is>
          <t>SWAT / Tactical Team</t>
        </is>
      </c>
      <c r="B160" t="inlineStr">
        <is>
          <t>lower_strength</t>
        </is>
      </c>
      <c r="C160" t="inlineStr">
        <is>
          <t>Hex-bar DL</t>
        </is>
      </c>
      <c r="D160" t="inlineStr">
        <is>
          <t>kg</t>
        </is>
      </c>
      <c r="E160" t="inlineStr">
        <is>
          <t>higher-is-better</t>
        </is>
      </c>
      <c r="F160">
        <f>IFERROR(VLOOKUP("SWAT / Tactical Team",'Strength by pathway'!$A:$AG,6,FALSE),"—")</f>
        <v/>
      </c>
      <c r="G160">
        <f>IFERROR(VLOOKUP("SWAT / Tactical Team",'Strength by pathway'!$A:$AG,7,FALSE),"—")</f>
        <v/>
      </c>
      <c r="H160">
        <f>IFERROR(VLOOKUP("SWAT / Tactical Team",'Strength by pathway'!$A:$AG,8,FALSE),"—")</f>
        <v/>
      </c>
      <c r="I160">
        <f>IFERROR(VLOOKUP("SWAT / Tactical Team",'Strength by pathway'!$A:$AG,9,FALSE),"—")</f>
        <v/>
      </c>
    </row>
    <row r="161">
      <c r="A161" t="inlineStr">
        <is>
          <t>SWAT / Tactical Team</t>
        </is>
      </c>
      <c r="B161" t="inlineStr">
        <is>
          <t>lower_strength</t>
        </is>
      </c>
      <c r="C161" t="inlineStr">
        <is>
          <t>Conventional DL</t>
        </is>
      </c>
      <c r="D161" t="inlineStr">
        <is>
          <t>kg</t>
        </is>
      </c>
      <c r="E161" t="inlineStr">
        <is>
          <t>higher-is-better</t>
        </is>
      </c>
      <c r="F161">
        <f>IFERROR(VLOOKUP("SWAT / Tactical Team",'Strength by pathway'!$A:$AG,10,FALSE),"—")</f>
        <v/>
      </c>
      <c r="G161">
        <f>IFERROR(VLOOKUP("SWAT / Tactical Team",'Strength by pathway'!$A:$AG,11,FALSE),"—")</f>
        <v/>
      </c>
      <c r="H161">
        <f>IFERROR(VLOOKUP("SWAT / Tactical Team",'Strength by pathway'!$A:$AG,12,FALSE),"—")</f>
        <v/>
      </c>
      <c r="I161">
        <f>IFERROR(VLOOKUP("SWAT / Tactical Team",'Strength by pathway'!$A:$AG,13,FALSE),"—")</f>
        <v/>
      </c>
    </row>
    <row r="162">
      <c r="A162" t="inlineStr">
        <is>
          <t>SWAT / Tactical Team</t>
        </is>
      </c>
      <c r="B162" t="inlineStr">
        <is>
          <t>upper_strength</t>
        </is>
      </c>
      <c r="C162" t="inlineStr">
        <is>
          <t>Bench Press</t>
        </is>
      </c>
      <c r="D162" t="inlineStr">
        <is>
          <t>kg</t>
        </is>
      </c>
      <c r="E162" t="inlineStr">
        <is>
          <t>higher-is-better</t>
        </is>
      </c>
      <c r="F162">
        <f>IFERROR(VLOOKUP("SWAT / Tactical Team",'Strength by pathway'!$A:$AG,14,FALSE),"—")</f>
        <v/>
      </c>
      <c r="G162">
        <f>IFERROR(VLOOKUP("SWAT / Tactical Team",'Strength by pathway'!$A:$AG,15,FALSE),"—")</f>
        <v/>
      </c>
      <c r="H162">
        <f>IFERROR(VLOOKUP("SWAT / Tactical Team",'Strength by pathway'!$A:$AG,16,FALSE),"—")</f>
        <v/>
      </c>
      <c r="I162">
        <f>IFERROR(VLOOKUP("SWAT / Tactical Team",'Strength by pathway'!$A:$AG,17,FALSE),"—")</f>
        <v/>
      </c>
    </row>
    <row r="163">
      <c r="A163" t="inlineStr">
        <is>
          <t>SWAT / Tactical Team</t>
        </is>
      </c>
      <c r="B163" t="inlineStr">
        <is>
          <t>upper_strength</t>
        </is>
      </c>
      <c r="C163" t="inlineStr">
        <is>
          <t>Overhead Press</t>
        </is>
      </c>
      <c r="D163" t="inlineStr">
        <is>
          <t>kg</t>
        </is>
      </c>
      <c r="E163" t="inlineStr">
        <is>
          <t>higher-is-better</t>
        </is>
      </c>
      <c r="F163">
        <f>IFERROR(VLOOKUP("SWAT / Tactical Team",'Strength by pathway'!$A:$AG,18,FALSE),"—")</f>
        <v/>
      </c>
      <c r="G163">
        <f>IFERROR(VLOOKUP("SWAT / Tactical Team",'Strength by pathway'!$A:$AG,19,FALSE),"—")</f>
        <v/>
      </c>
      <c r="H163">
        <f>IFERROR(VLOOKUP("SWAT / Tactical Team",'Strength by pathway'!$A:$AG,20,FALSE),"—")</f>
        <v/>
      </c>
      <c r="I163">
        <f>IFERROR(VLOOKUP("SWAT / Tactical Team",'Strength by pathway'!$A:$AG,21,FALSE),"—")</f>
        <v/>
      </c>
    </row>
    <row r="164">
      <c r="A164" t="inlineStr">
        <is>
          <t>SWAT / Tactical Team</t>
        </is>
      </c>
      <c r="B164" t="inlineStr">
        <is>
          <t>upper_endurance</t>
        </is>
      </c>
      <c r="C164" t="inlineStr">
        <is>
          <t>Pull-ups (no time)</t>
        </is>
      </c>
      <c r="D164" t="inlineStr">
        <is>
          <t>reps</t>
        </is>
      </c>
      <c r="E164" t="inlineStr">
        <is>
          <t>higher-is-better</t>
        </is>
      </c>
      <c r="F164" t="n">
        <v>8</v>
      </c>
      <c r="G164" t="n">
        <v>12</v>
      </c>
      <c r="H164" t="n">
        <v>16</v>
      </c>
      <c r="I164" t="n">
        <v>22</v>
      </c>
      <c r="J164" t="inlineStr">
        <is>
          <t>LAPD SWAT min.</t>
        </is>
      </c>
    </row>
    <row r="165">
      <c r="A165" t="inlineStr">
        <is>
          <t>SWAT / Tactical Team</t>
        </is>
      </c>
      <c r="B165" t="inlineStr">
        <is>
          <t>upper_endurance</t>
        </is>
      </c>
      <c r="C165" t="inlineStr">
        <is>
          <t>Push-ups (1 min)</t>
        </is>
      </c>
      <c r="D165" t="inlineStr">
        <is>
          <t>reps</t>
        </is>
      </c>
      <c r="E165" t="inlineStr">
        <is>
          <t>higher-is-better</t>
        </is>
      </c>
      <c r="F165" t="n">
        <v>40</v>
      </c>
      <c r="G165" t="n">
        <v>55</v>
      </c>
      <c r="H165" t="n">
        <v>70</v>
      </c>
      <c r="I165" t="n">
        <v>90</v>
      </c>
    </row>
    <row r="166">
      <c r="A166" t="inlineStr">
        <is>
          <t>SWAT / Tactical Team</t>
        </is>
      </c>
      <c r="B166" t="inlineStr">
        <is>
          <t>core_endurance</t>
        </is>
      </c>
      <c r="C166" t="inlineStr">
        <is>
          <t>Sit-ups (2 min)</t>
        </is>
      </c>
      <c r="D166" t="inlineStr">
        <is>
          <t>reps</t>
        </is>
      </c>
      <c r="E166" t="inlineStr">
        <is>
          <t>higher-is-better</t>
        </is>
      </c>
      <c r="F166" t="n">
        <v>40</v>
      </c>
      <c r="G166" t="n">
        <v>55</v>
      </c>
      <c r="H166" t="n">
        <v>70</v>
      </c>
      <c r="I166" t="n">
        <v>90</v>
      </c>
    </row>
    <row r="167">
      <c r="A167" t="inlineStr">
        <is>
          <t>SWAT / Tactical Team</t>
        </is>
      </c>
      <c r="B167" t="inlineStr">
        <is>
          <t>stability</t>
        </is>
      </c>
      <c r="C167" t="inlineStr">
        <is>
          <t>Plank (front)</t>
        </is>
      </c>
      <c r="D167" t="inlineStr">
        <is>
          <t>sec</t>
        </is>
      </c>
      <c r="E167" t="inlineStr">
        <is>
          <t>higher-is-better</t>
        </is>
      </c>
      <c r="F167" t="inlineStr">
        <is>
          <t>1:30</t>
        </is>
      </c>
      <c r="G167" t="inlineStr">
        <is>
          <t>2:30</t>
        </is>
      </c>
      <c r="H167" t="inlineStr">
        <is>
          <t>3:30</t>
        </is>
      </c>
      <c r="I167" t="inlineStr">
        <is>
          <t>4:30</t>
        </is>
      </c>
    </row>
    <row r="168">
      <c r="A168" t="inlineStr">
        <is>
          <t>SWAT / Tactical Team</t>
        </is>
      </c>
      <c r="B168" t="inlineStr">
        <is>
          <t>stability</t>
        </is>
      </c>
      <c r="C168" t="inlineStr">
        <is>
          <t>Side plank (per side)</t>
        </is>
      </c>
      <c r="D168" t="inlineStr">
        <is>
          <t>sec</t>
        </is>
      </c>
      <c r="E168" t="inlineStr">
        <is>
          <t>higher-is-better</t>
        </is>
      </c>
      <c r="F168" t="inlineStr">
        <is>
          <t>1:00</t>
        </is>
      </c>
      <c r="G168" t="inlineStr">
        <is>
          <t>1:30</t>
        </is>
      </c>
      <c r="H168" t="inlineStr">
        <is>
          <t>2:00</t>
        </is>
      </c>
      <c r="I168" t="inlineStr">
        <is>
          <t>3:00</t>
        </is>
      </c>
    </row>
    <row r="169">
      <c r="A169" t="inlineStr">
        <is>
          <t>SWAT / Tactical Team</t>
        </is>
      </c>
      <c r="B169" t="inlineStr">
        <is>
          <t>grip</t>
        </is>
      </c>
      <c r="C169" t="inlineStr">
        <is>
          <t>Dead hang (grip)</t>
        </is>
      </c>
      <c r="D169" t="inlineStr">
        <is>
          <t>sec</t>
        </is>
      </c>
      <c r="E169" t="inlineStr">
        <is>
          <t>higher-is-better</t>
        </is>
      </c>
      <c r="F169">
        <f>IFERROR(VLOOKUP("SWAT / Tactical Team",'Strength by pathway'!$A:$AG,30,FALSE),"—")</f>
        <v/>
      </c>
      <c r="G169">
        <f>IFERROR(VLOOKUP("SWAT / Tactical Team",'Strength by pathway'!$A:$AG,31,FALSE),"—")</f>
        <v/>
      </c>
      <c r="H169">
        <f>IFERROR(VLOOKUP("SWAT / Tactical Team",'Strength by pathway'!$A:$AG,32,FALSE),"—")</f>
        <v/>
      </c>
      <c r="I169">
        <f>IFERROR(VLOOKUP("SWAT / Tactical Team",'Strength by pathway'!$A:$AG,33,FALSE),"—")</f>
        <v/>
      </c>
    </row>
    <row r="170">
      <c r="A170" t="inlineStr">
        <is>
          <t>SWAT / Tactical Team</t>
        </is>
      </c>
      <c r="B170" t="inlineStr">
        <is>
          <t>power</t>
        </is>
      </c>
      <c r="C170" t="inlineStr">
        <is>
          <t>Power Clean</t>
        </is>
      </c>
      <c r="D170" t="inlineStr">
        <is>
          <t>kg</t>
        </is>
      </c>
      <c r="E170" t="inlineStr">
        <is>
          <t>higher-is-better</t>
        </is>
      </c>
      <c r="F170">
        <f>IFERROR(VLOOKUP("SWAT / Tactical Team",'Strength by pathway'!$A:$AG,22,FALSE),"—")</f>
        <v/>
      </c>
      <c r="G170">
        <f>IFERROR(VLOOKUP("SWAT / Tactical Team",'Strength by pathway'!$A:$AG,23,FALSE),"—")</f>
        <v/>
      </c>
      <c r="H170">
        <f>IFERROR(VLOOKUP("SWAT / Tactical Team",'Strength by pathway'!$A:$AG,24,FALSE),"—")</f>
        <v/>
      </c>
      <c r="I170">
        <f>IFERROR(VLOOKUP("SWAT / Tactical Team",'Strength by pathway'!$A:$AG,25,FALSE),"—")</f>
        <v/>
      </c>
    </row>
    <row r="171">
      <c r="A171" t="inlineStr">
        <is>
          <t>SWAT / Tactical Team</t>
        </is>
      </c>
      <c r="B171" t="inlineStr">
        <is>
          <t>power</t>
        </is>
      </c>
      <c r="C171" t="inlineStr">
        <is>
          <t>Broad Jump</t>
        </is>
      </c>
      <c r="D171" t="inlineStr">
        <is>
          <t>m</t>
        </is>
      </c>
      <c r="E171" t="inlineStr">
        <is>
          <t>higher-is-better</t>
        </is>
      </c>
      <c r="F171">
        <f>IFERROR(VLOOKUP("SWAT / Tactical Team",'Strength by pathway'!$A:$AG,26,FALSE),"—")</f>
        <v/>
      </c>
      <c r="G171">
        <f>IFERROR(VLOOKUP("SWAT / Tactical Team",'Strength by pathway'!$A:$AG,27,FALSE),"—")</f>
        <v/>
      </c>
      <c r="H171">
        <f>IFERROR(VLOOKUP("SWAT / Tactical Team",'Strength by pathway'!$A:$AG,28,FALSE),"—")</f>
        <v/>
      </c>
      <c r="I171">
        <f>IFERROR(VLOOKUP("SWAT / Tactical Team",'Strength by pathway'!$A:$AG,29,FALSE),"—")</f>
        <v/>
      </c>
    </row>
    <row r="172">
      <c r="A172" t="inlineStr">
        <is>
          <t>US Army</t>
        </is>
      </c>
      <c r="B172" t="inlineStr">
        <is>
          <t>running</t>
        </is>
      </c>
      <c r="C172" t="inlineStr">
        <is>
          <t>2-mile run</t>
        </is>
      </c>
      <c r="D172" t="inlineStr">
        <is>
          <t>sec</t>
        </is>
      </c>
      <c r="E172" t="inlineStr">
        <is>
          <t>lower-is-better</t>
        </is>
      </c>
      <c r="F172" t="inlineStr">
        <is>
          <t>18:00</t>
        </is>
      </c>
      <c r="G172" t="inlineStr">
        <is>
          <t>16:00</t>
        </is>
      </c>
      <c r="H172" t="inlineStr">
        <is>
          <t>13:22</t>
        </is>
      </c>
      <c r="I172" t="inlineStr">
        <is>
          <t>12:30</t>
        </is>
      </c>
      <c r="J172" t="inlineStr">
        <is>
          <t>ACFT-anchored entry tier.</t>
        </is>
      </c>
      <c r="K172" t="inlineStr">
        <is>
          <t>synced 2026-05-21 from benchmark_tests.ts</t>
        </is>
      </c>
    </row>
    <row r="173">
      <c r="A173" t="inlineStr">
        <is>
          <t>US Army</t>
        </is>
      </c>
      <c r="B173" t="inlineStr">
        <is>
          <t>rucking</t>
        </is>
      </c>
      <c r="C173" t="inlineStr">
        <is>
          <t>4-mile ruck (35 lb)</t>
        </is>
      </c>
      <c r="D173" t="inlineStr">
        <is>
          <t>sec</t>
        </is>
      </c>
      <c r="E173" t="inlineStr">
        <is>
          <t>lower-is-better</t>
        </is>
      </c>
      <c r="F173" t="inlineStr">
        <is>
          <t>1:00:00</t>
        </is>
      </c>
      <c r="G173" t="inlineStr">
        <is>
          <t>55:00</t>
        </is>
      </c>
      <c r="H173" t="inlineStr">
        <is>
          <t>50:00</t>
        </is>
      </c>
      <c r="I173" t="inlineStr">
        <is>
          <t>45:00</t>
        </is>
      </c>
      <c r="J173" t="inlineStr">
        <is>
          <t>Basic load-carriage standard.</t>
        </is>
      </c>
    </row>
    <row r="174">
      <c r="A174" t="inlineStr">
        <is>
          <t>US Army</t>
        </is>
      </c>
      <c r="B174" t="inlineStr">
        <is>
          <t>lower_strength</t>
        </is>
      </c>
      <c r="C174" t="inlineStr">
        <is>
          <t>Back Squat</t>
        </is>
      </c>
      <c r="D174" t="inlineStr">
        <is>
          <t>kg</t>
        </is>
      </c>
      <c r="E174" t="inlineStr">
        <is>
          <t>higher-is-better</t>
        </is>
      </c>
      <c r="F174">
        <f>IFERROR(VLOOKUP("US Army",'Strength by pathway'!$A:$AG,2,FALSE),"—")</f>
        <v/>
      </c>
      <c r="G174">
        <f>IFERROR(VLOOKUP("US Army",'Strength by pathway'!$A:$AG,3,FALSE),"—")</f>
        <v/>
      </c>
      <c r="H174">
        <f>IFERROR(VLOOKUP("US Army",'Strength by pathway'!$A:$AG,4,FALSE),"—")</f>
        <v/>
      </c>
      <c r="I174">
        <f>IFERROR(VLOOKUP("US Army",'Strength by pathway'!$A:$AG,5,FALSE),"—")</f>
        <v/>
      </c>
    </row>
    <row r="175">
      <c r="A175" t="inlineStr">
        <is>
          <t>US Army</t>
        </is>
      </c>
      <c r="B175" t="inlineStr">
        <is>
          <t>lower_strength</t>
        </is>
      </c>
      <c r="C175" t="inlineStr">
        <is>
          <t>Hex-bar DL</t>
        </is>
      </c>
      <c r="D175" t="inlineStr">
        <is>
          <t>kg</t>
        </is>
      </c>
      <c r="E175" t="inlineStr">
        <is>
          <t>higher-is-better</t>
        </is>
      </c>
      <c r="F175">
        <f>IFERROR(VLOOKUP("US Army",'Strength by pathway'!$A:$AG,6,FALSE),"—")</f>
        <v/>
      </c>
      <c r="G175">
        <f>IFERROR(VLOOKUP("US Army",'Strength by pathway'!$A:$AG,7,FALSE),"—")</f>
        <v/>
      </c>
      <c r="H175">
        <f>IFERROR(VLOOKUP("US Army",'Strength by pathway'!$A:$AG,8,FALSE),"—")</f>
        <v/>
      </c>
      <c r="I175">
        <f>IFERROR(VLOOKUP("US Army",'Strength by pathway'!$A:$AG,9,FALSE),"—")</f>
        <v/>
      </c>
    </row>
    <row r="176">
      <c r="A176" t="inlineStr">
        <is>
          <t>US Army</t>
        </is>
      </c>
      <c r="B176" t="inlineStr">
        <is>
          <t>lower_strength</t>
        </is>
      </c>
      <c r="C176" t="inlineStr">
        <is>
          <t>Conventional DL</t>
        </is>
      </c>
      <c r="D176" t="inlineStr">
        <is>
          <t>kg</t>
        </is>
      </c>
      <c r="E176" t="inlineStr">
        <is>
          <t>higher-is-better</t>
        </is>
      </c>
      <c r="F176">
        <f>IFERROR(VLOOKUP("US Army",'Strength by pathway'!$A:$AG,10,FALSE),"—")</f>
        <v/>
      </c>
      <c r="G176">
        <f>IFERROR(VLOOKUP("US Army",'Strength by pathway'!$A:$AG,11,FALSE),"—")</f>
        <v/>
      </c>
      <c r="H176">
        <f>IFERROR(VLOOKUP("US Army",'Strength by pathway'!$A:$AG,12,FALSE),"—")</f>
        <v/>
      </c>
      <c r="I176">
        <f>IFERROR(VLOOKUP("US Army",'Strength by pathway'!$A:$AG,13,FALSE),"—")</f>
        <v/>
      </c>
    </row>
    <row r="177">
      <c r="A177" t="inlineStr">
        <is>
          <t>US Army</t>
        </is>
      </c>
      <c r="B177" t="inlineStr">
        <is>
          <t>upper_strength</t>
        </is>
      </c>
      <c r="C177" t="inlineStr">
        <is>
          <t>Bench Press</t>
        </is>
      </c>
      <c r="D177" t="inlineStr">
        <is>
          <t>kg</t>
        </is>
      </c>
      <c r="E177" t="inlineStr">
        <is>
          <t>higher-is-better</t>
        </is>
      </c>
      <c r="F177">
        <f>IFERROR(VLOOKUP("US Army",'Strength by pathway'!$A:$AG,14,FALSE),"—")</f>
        <v/>
      </c>
      <c r="G177">
        <f>IFERROR(VLOOKUP("US Army",'Strength by pathway'!$A:$AG,15,FALSE),"—")</f>
        <v/>
      </c>
      <c r="H177">
        <f>IFERROR(VLOOKUP("US Army",'Strength by pathway'!$A:$AG,16,FALSE),"—")</f>
        <v/>
      </c>
      <c r="I177">
        <f>IFERROR(VLOOKUP("US Army",'Strength by pathway'!$A:$AG,17,FALSE),"—")</f>
        <v/>
      </c>
    </row>
    <row r="178">
      <c r="A178" t="inlineStr">
        <is>
          <t>US Army</t>
        </is>
      </c>
      <c r="B178" t="inlineStr">
        <is>
          <t>upper_endurance</t>
        </is>
      </c>
      <c r="C178" t="inlineStr">
        <is>
          <t>Pull-ups (no time)</t>
        </is>
      </c>
      <c r="D178" t="inlineStr">
        <is>
          <t>reps</t>
        </is>
      </c>
      <c r="E178" t="inlineStr">
        <is>
          <t>higher-is-better</t>
        </is>
      </c>
      <c r="F178" t="n">
        <v>3</v>
      </c>
      <c r="G178" t="n">
        <v>8</v>
      </c>
      <c r="H178" t="n">
        <v>14</v>
      </c>
      <c r="I178" t="n">
        <v>20</v>
      </c>
    </row>
    <row r="179">
      <c r="A179" t="inlineStr">
        <is>
          <t>US Army</t>
        </is>
      </c>
      <c r="B179" t="inlineStr">
        <is>
          <t>upper_endurance</t>
        </is>
      </c>
      <c r="C179" t="inlineStr">
        <is>
          <t>Push-ups (2 min)</t>
        </is>
      </c>
      <c r="D179" t="inlineStr">
        <is>
          <t>reps</t>
        </is>
      </c>
      <c r="E179" t="inlineStr">
        <is>
          <t>higher-is-better</t>
        </is>
      </c>
      <c r="F179" t="n">
        <v>30</v>
      </c>
      <c r="G179" t="n">
        <v>50</v>
      </c>
      <c r="H179" t="n">
        <v>70</v>
      </c>
      <c r="I179" t="n">
        <v>90</v>
      </c>
    </row>
    <row r="180">
      <c r="A180" t="inlineStr">
        <is>
          <t>US Army</t>
        </is>
      </c>
      <c r="B180" t="inlineStr">
        <is>
          <t>core_endurance</t>
        </is>
      </c>
      <c r="C180" t="inlineStr">
        <is>
          <t>Sit-ups (2 min)</t>
        </is>
      </c>
      <c r="D180" t="inlineStr">
        <is>
          <t>reps</t>
        </is>
      </c>
      <c r="E180" t="inlineStr">
        <is>
          <t>higher-is-better</t>
        </is>
      </c>
      <c r="F180" t="n">
        <v>35</v>
      </c>
      <c r="G180" t="n">
        <v>55</v>
      </c>
      <c r="H180" t="n">
        <v>75</v>
      </c>
      <c r="I180" t="n">
        <v>95</v>
      </c>
    </row>
    <row r="181">
      <c r="A181" t="inlineStr">
        <is>
          <t>US Army</t>
        </is>
      </c>
      <c r="B181" t="inlineStr">
        <is>
          <t>stability</t>
        </is>
      </c>
      <c r="C181" t="inlineStr">
        <is>
          <t>Plank (front)</t>
        </is>
      </c>
      <c r="D181" t="inlineStr">
        <is>
          <t>sec</t>
        </is>
      </c>
      <c r="E181" t="inlineStr">
        <is>
          <t>higher-is-better</t>
        </is>
      </c>
      <c r="F181" t="inlineStr">
        <is>
          <t>1:30</t>
        </is>
      </c>
      <c r="G181" t="inlineStr">
        <is>
          <t>2:30</t>
        </is>
      </c>
      <c r="H181" t="inlineStr">
        <is>
          <t>4:20</t>
        </is>
      </c>
      <c r="I181" t="inlineStr">
        <is>
          <t>4:30</t>
        </is>
      </c>
    </row>
    <row r="182">
      <c r="A182" t="inlineStr">
        <is>
          <t>US Army</t>
        </is>
      </c>
      <c r="B182" t="inlineStr">
        <is>
          <t>stability</t>
        </is>
      </c>
      <c r="C182" t="inlineStr">
        <is>
          <t>Side plank (per side)</t>
        </is>
      </c>
      <c r="D182" t="inlineStr">
        <is>
          <t>sec</t>
        </is>
      </c>
      <c r="E182" t="inlineStr">
        <is>
          <t>higher-is-better</t>
        </is>
      </c>
      <c r="F182" t="inlineStr">
        <is>
          <t>1:00</t>
        </is>
      </c>
      <c r="G182" t="inlineStr">
        <is>
          <t>1:30</t>
        </is>
      </c>
      <c r="H182" t="inlineStr">
        <is>
          <t>2:00</t>
        </is>
      </c>
      <c r="I182" t="inlineStr">
        <is>
          <t>3:00</t>
        </is>
      </c>
    </row>
    <row r="183">
      <c r="A183" t="inlineStr">
        <is>
          <t>US Army</t>
        </is>
      </c>
      <c r="B183" t="inlineStr">
        <is>
          <t>grip</t>
        </is>
      </c>
      <c r="C183" t="inlineStr">
        <is>
          <t>Dead hang (grip)</t>
        </is>
      </c>
      <c r="D183" t="inlineStr">
        <is>
          <t>sec</t>
        </is>
      </c>
      <c r="E183" t="inlineStr">
        <is>
          <t>higher-is-better</t>
        </is>
      </c>
      <c r="F183">
        <f>IFERROR(VLOOKUP("US Army",'Strength by pathway'!$A:$AG,30,FALSE),"—")</f>
        <v/>
      </c>
      <c r="G183">
        <f>IFERROR(VLOOKUP("US Army",'Strength by pathway'!$A:$AG,31,FALSE),"—")</f>
        <v/>
      </c>
      <c r="H183">
        <f>IFERROR(VLOOKUP("US Army",'Strength by pathway'!$A:$AG,32,FALSE),"—")</f>
        <v/>
      </c>
      <c r="I183">
        <f>IFERROR(VLOOKUP("US Army",'Strength by pathway'!$A:$AG,33,FALSE),"—")</f>
        <v/>
      </c>
    </row>
    <row r="184">
      <c r="A184" t="inlineStr">
        <is>
          <t>US Army</t>
        </is>
      </c>
      <c r="B184" t="inlineStr">
        <is>
          <t>power</t>
        </is>
      </c>
      <c r="C184" t="inlineStr">
        <is>
          <t>Power Clean</t>
        </is>
      </c>
      <c r="D184" t="inlineStr">
        <is>
          <t>kg</t>
        </is>
      </c>
      <c r="E184" t="inlineStr">
        <is>
          <t>higher-is-better</t>
        </is>
      </c>
      <c r="F184">
        <f>IFERROR(VLOOKUP("US Army",'Strength by pathway'!$A:$AG,22,FALSE),"—")</f>
        <v/>
      </c>
      <c r="G184">
        <f>IFERROR(VLOOKUP("US Army",'Strength by pathway'!$A:$AG,23,FALSE),"—")</f>
        <v/>
      </c>
      <c r="H184">
        <f>IFERROR(VLOOKUP("US Army",'Strength by pathway'!$A:$AG,24,FALSE),"—")</f>
        <v/>
      </c>
      <c r="I184">
        <f>IFERROR(VLOOKUP("US Army",'Strength by pathway'!$A:$AG,25,FALSE),"—")</f>
        <v/>
      </c>
    </row>
    <row r="185">
      <c r="A185" t="inlineStr">
        <is>
          <t>US Army</t>
        </is>
      </c>
      <c r="B185" t="inlineStr">
        <is>
          <t>power</t>
        </is>
      </c>
      <c r="C185" t="inlineStr">
        <is>
          <t>Broad Jump</t>
        </is>
      </c>
      <c r="D185" t="inlineStr">
        <is>
          <t>m</t>
        </is>
      </c>
      <c r="E185" t="inlineStr">
        <is>
          <t>higher-is-better</t>
        </is>
      </c>
      <c r="F185">
        <f>IFERROR(VLOOKUP("US Army",'Strength by pathway'!$A:$AG,26,FALSE),"—")</f>
        <v/>
      </c>
      <c r="G185">
        <f>IFERROR(VLOOKUP("US Army",'Strength by pathway'!$A:$AG,27,FALSE),"—")</f>
        <v/>
      </c>
      <c r="H185">
        <f>IFERROR(VLOOKUP("US Army",'Strength by pathway'!$A:$AG,28,FALSE),"—")</f>
        <v/>
      </c>
      <c r="I185">
        <f>IFERROR(VLOOKUP("US Army",'Strength by pathway'!$A:$AG,29,FALSE),"—")</f>
        <v/>
      </c>
    </row>
    <row r="186">
      <c r="A186" t="inlineStr">
        <is>
          <t>US Infantry</t>
        </is>
      </c>
      <c r="B186" t="inlineStr">
        <is>
          <t>running</t>
        </is>
      </c>
      <c r="C186" t="inlineStr">
        <is>
          <t>2-mile run</t>
        </is>
      </c>
      <c r="D186" t="inlineStr">
        <is>
          <t>sec</t>
        </is>
      </c>
      <c r="E186" t="inlineStr">
        <is>
          <t>lower-is-better</t>
        </is>
      </c>
      <c r="F186" t="inlineStr">
        <is>
          <t>16:00</t>
        </is>
      </c>
      <c r="G186" t="inlineStr">
        <is>
          <t>14:00</t>
        </is>
      </c>
      <c r="H186" t="inlineStr">
        <is>
          <t>12:30</t>
        </is>
      </c>
      <c r="I186" t="inlineStr">
        <is>
          <t>11:30</t>
        </is>
      </c>
      <c r="J186" t="inlineStr">
        <is>
          <t>Combat-arms tier.</t>
        </is>
      </c>
      <c r="K186" t="inlineStr">
        <is>
          <t>not in app — xlsx canonical</t>
        </is>
      </c>
    </row>
    <row r="187">
      <c r="A187" t="inlineStr">
        <is>
          <t>US Infantry</t>
        </is>
      </c>
      <c r="B187" t="inlineStr">
        <is>
          <t>rucking</t>
        </is>
      </c>
      <c r="C187" t="inlineStr">
        <is>
          <t>12-mile ruck (35 lb)</t>
        </is>
      </c>
      <c r="D187" t="inlineStr">
        <is>
          <t>sec</t>
        </is>
      </c>
      <c r="E187" t="inlineStr">
        <is>
          <t>lower-is-better</t>
        </is>
      </c>
      <c r="F187" t="inlineStr">
        <is>
          <t>3:30:00</t>
        </is>
      </c>
      <c r="G187" t="inlineStr">
        <is>
          <t>3:00:00</t>
        </is>
      </c>
      <c r="H187" t="inlineStr">
        <is>
          <t>2:45:00</t>
        </is>
      </c>
      <c r="I187" t="inlineStr">
        <is>
          <t>2:30:00</t>
        </is>
      </c>
      <c r="J187" t="inlineStr">
        <is>
          <t>Light Role / 11B benchmark.</t>
        </is>
      </c>
    </row>
    <row r="188">
      <c r="A188" t="inlineStr">
        <is>
          <t>US Infantry</t>
        </is>
      </c>
      <c r="B188" t="inlineStr">
        <is>
          <t>lower_strength</t>
        </is>
      </c>
      <c r="C188" t="inlineStr">
        <is>
          <t>Back Squat</t>
        </is>
      </c>
      <c r="D188" t="inlineStr">
        <is>
          <t>kg</t>
        </is>
      </c>
      <c r="E188" t="inlineStr">
        <is>
          <t>higher-is-better</t>
        </is>
      </c>
      <c r="F188">
        <f>IFERROR(VLOOKUP("US Infantry",'Strength by pathway'!$A:$AG,2,FALSE),"—")</f>
        <v/>
      </c>
      <c r="G188">
        <f>IFERROR(VLOOKUP("US Infantry",'Strength by pathway'!$A:$AG,3,FALSE),"—")</f>
        <v/>
      </c>
      <c r="H188">
        <f>IFERROR(VLOOKUP("US Infantry",'Strength by pathway'!$A:$AG,4,FALSE),"—")</f>
        <v/>
      </c>
      <c r="I188">
        <f>IFERROR(VLOOKUP("US Infantry",'Strength by pathway'!$A:$AG,5,FALSE),"—")</f>
        <v/>
      </c>
    </row>
    <row r="189">
      <c r="A189" t="inlineStr">
        <is>
          <t>US Infantry</t>
        </is>
      </c>
      <c r="B189" t="inlineStr">
        <is>
          <t>lower_strength</t>
        </is>
      </c>
      <c r="C189" t="inlineStr">
        <is>
          <t>Hex-bar DL</t>
        </is>
      </c>
      <c r="D189" t="inlineStr">
        <is>
          <t>kg</t>
        </is>
      </c>
      <c r="E189" t="inlineStr">
        <is>
          <t>higher-is-better</t>
        </is>
      </c>
      <c r="F189">
        <f>IFERROR(VLOOKUP("US Infantry",'Strength by pathway'!$A:$AG,6,FALSE),"—")</f>
        <v/>
      </c>
      <c r="G189">
        <f>IFERROR(VLOOKUP("US Infantry",'Strength by pathway'!$A:$AG,7,FALSE),"—")</f>
        <v/>
      </c>
      <c r="H189">
        <f>IFERROR(VLOOKUP("US Infantry",'Strength by pathway'!$A:$AG,8,FALSE),"—")</f>
        <v/>
      </c>
      <c r="I189">
        <f>IFERROR(VLOOKUP("US Infantry",'Strength by pathway'!$A:$AG,9,FALSE),"—")</f>
        <v/>
      </c>
    </row>
    <row r="190">
      <c r="A190" t="inlineStr">
        <is>
          <t>US Infantry</t>
        </is>
      </c>
      <c r="B190" t="inlineStr">
        <is>
          <t>lower_strength</t>
        </is>
      </c>
      <c r="C190" t="inlineStr">
        <is>
          <t>Conventional DL</t>
        </is>
      </c>
      <c r="D190" t="inlineStr">
        <is>
          <t>kg</t>
        </is>
      </c>
      <c r="E190" t="inlineStr">
        <is>
          <t>higher-is-better</t>
        </is>
      </c>
      <c r="F190">
        <f>IFERROR(VLOOKUP("US Infantry",'Strength by pathway'!$A:$AG,10,FALSE),"—")</f>
        <v/>
      </c>
      <c r="G190">
        <f>IFERROR(VLOOKUP("US Infantry",'Strength by pathway'!$A:$AG,11,FALSE),"—")</f>
        <v/>
      </c>
      <c r="H190">
        <f>IFERROR(VLOOKUP("US Infantry",'Strength by pathway'!$A:$AG,12,FALSE),"—")</f>
        <v/>
      </c>
      <c r="I190">
        <f>IFERROR(VLOOKUP("US Infantry",'Strength by pathway'!$A:$AG,13,FALSE),"—")</f>
        <v/>
      </c>
    </row>
    <row r="191">
      <c r="A191" t="inlineStr">
        <is>
          <t>US Infantry</t>
        </is>
      </c>
      <c r="B191" t="inlineStr">
        <is>
          <t>upper_strength</t>
        </is>
      </c>
      <c r="C191" t="inlineStr">
        <is>
          <t>Bench Press</t>
        </is>
      </c>
      <c r="D191" t="inlineStr">
        <is>
          <t>kg</t>
        </is>
      </c>
      <c r="E191" t="inlineStr">
        <is>
          <t>higher-is-better</t>
        </is>
      </c>
      <c r="F191">
        <f>IFERROR(VLOOKUP("US Infantry",'Strength by pathway'!$A:$AG,14,FALSE),"—")</f>
        <v/>
      </c>
      <c r="G191">
        <f>IFERROR(VLOOKUP("US Infantry",'Strength by pathway'!$A:$AG,15,FALSE),"—")</f>
        <v/>
      </c>
      <c r="H191">
        <f>IFERROR(VLOOKUP("US Infantry",'Strength by pathway'!$A:$AG,16,FALSE),"—")</f>
        <v/>
      </c>
      <c r="I191">
        <f>IFERROR(VLOOKUP("US Infantry",'Strength by pathway'!$A:$AG,17,FALSE),"—")</f>
        <v/>
      </c>
    </row>
    <row r="192">
      <c r="A192" t="inlineStr">
        <is>
          <t>US Infantry</t>
        </is>
      </c>
      <c r="B192" t="inlineStr">
        <is>
          <t>upper_endurance</t>
        </is>
      </c>
      <c r="C192" t="inlineStr">
        <is>
          <t>Pull-ups (no time)</t>
        </is>
      </c>
      <c r="D192" t="inlineStr">
        <is>
          <t>reps</t>
        </is>
      </c>
      <c r="E192" t="inlineStr">
        <is>
          <t>higher-is-better</t>
        </is>
      </c>
      <c r="F192" t="n">
        <v>6</v>
      </c>
      <c r="G192" t="n">
        <v>12</v>
      </c>
      <c r="H192" t="n">
        <v>18</v>
      </c>
      <c r="I192" t="n">
        <v>25</v>
      </c>
    </row>
    <row r="193">
      <c r="A193" t="inlineStr">
        <is>
          <t>US Infantry</t>
        </is>
      </c>
      <c r="B193" t="inlineStr">
        <is>
          <t>upper_endurance</t>
        </is>
      </c>
      <c r="C193" t="inlineStr">
        <is>
          <t>Push-ups (2 min)</t>
        </is>
      </c>
      <c r="D193" t="inlineStr">
        <is>
          <t>reps</t>
        </is>
      </c>
      <c r="E193" t="inlineStr">
        <is>
          <t>higher-is-better</t>
        </is>
      </c>
      <c r="F193" t="n">
        <v>45</v>
      </c>
      <c r="G193" t="n">
        <v>65</v>
      </c>
      <c r="H193" t="n">
        <v>80</v>
      </c>
      <c r="I193" t="n">
        <v>100</v>
      </c>
    </row>
    <row r="194">
      <c r="A194" t="inlineStr">
        <is>
          <t>US Infantry</t>
        </is>
      </c>
      <c r="B194" t="inlineStr">
        <is>
          <t>core_endurance</t>
        </is>
      </c>
      <c r="C194" t="inlineStr">
        <is>
          <t>Sit-ups (2 min)</t>
        </is>
      </c>
      <c r="D194" t="inlineStr">
        <is>
          <t>reps</t>
        </is>
      </c>
      <c r="E194" t="inlineStr">
        <is>
          <t>higher-is-better</t>
        </is>
      </c>
      <c r="F194" t="n">
        <v>50</v>
      </c>
      <c r="G194" t="n">
        <v>70</v>
      </c>
      <c r="H194" t="n">
        <v>90</v>
      </c>
      <c r="I194" t="n">
        <v>110</v>
      </c>
    </row>
    <row r="195">
      <c r="A195" t="inlineStr">
        <is>
          <t>US Infantry</t>
        </is>
      </c>
      <c r="B195" t="inlineStr">
        <is>
          <t>stability</t>
        </is>
      </c>
      <c r="C195" t="inlineStr">
        <is>
          <t>Plank (front)</t>
        </is>
      </c>
      <c r="D195" t="inlineStr">
        <is>
          <t>sec</t>
        </is>
      </c>
      <c r="E195" t="inlineStr">
        <is>
          <t>higher-is-better</t>
        </is>
      </c>
      <c r="F195" t="inlineStr">
        <is>
          <t>1:30</t>
        </is>
      </c>
      <c r="G195" t="inlineStr">
        <is>
          <t>2:30</t>
        </is>
      </c>
      <c r="H195" t="inlineStr">
        <is>
          <t>3:30</t>
        </is>
      </c>
      <c r="I195" t="inlineStr">
        <is>
          <t>4:30</t>
        </is>
      </c>
    </row>
    <row r="196">
      <c r="A196" t="inlineStr">
        <is>
          <t>US Infantry</t>
        </is>
      </c>
      <c r="B196" t="inlineStr">
        <is>
          <t>stability</t>
        </is>
      </c>
      <c r="C196" t="inlineStr">
        <is>
          <t>Side plank (per side)</t>
        </is>
      </c>
      <c r="D196" t="inlineStr">
        <is>
          <t>sec</t>
        </is>
      </c>
      <c r="E196" t="inlineStr">
        <is>
          <t>higher-is-better</t>
        </is>
      </c>
      <c r="F196" t="inlineStr">
        <is>
          <t>1:00</t>
        </is>
      </c>
      <c r="G196" t="inlineStr">
        <is>
          <t>1:30</t>
        </is>
      </c>
      <c r="H196" t="inlineStr">
        <is>
          <t>2:00</t>
        </is>
      </c>
      <c r="I196" t="inlineStr">
        <is>
          <t>3:00</t>
        </is>
      </c>
    </row>
    <row r="197">
      <c r="A197" t="inlineStr">
        <is>
          <t>US Infantry</t>
        </is>
      </c>
      <c r="B197" t="inlineStr">
        <is>
          <t>grip</t>
        </is>
      </c>
      <c r="C197" t="inlineStr">
        <is>
          <t>Dead hang (grip)</t>
        </is>
      </c>
      <c r="D197" t="inlineStr">
        <is>
          <t>sec</t>
        </is>
      </c>
      <c r="E197" t="inlineStr">
        <is>
          <t>higher-is-better</t>
        </is>
      </c>
      <c r="F197">
        <f>IFERROR(VLOOKUP("US Infantry",'Strength by pathway'!$A:$AG,30,FALSE),"—")</f>
        <v/>
      </c>
      <c r="G197">
        <f>IFERROR(VLOOKUP("US Infantry",'Strength by pathway'!$A:$AG,31,FALSE),"—")</f>
        <v/>
      </c>
      <c r="H197">
        <f>IFERROR(VLOOKUP("US Infantry",'Strength by pathway'!$A:$AG,32,FALSE),"—")</f>
        <v/>
      </c>
      <c r="I197">
        <f>IFERROR(VLOOKUP("US Infantry",'Strength by pathway'!$A:$AG,33,FALSE),"—")</f>
        <v/>
      </c>
    </row>
    <row r="198">
      <c r="A198" t="inlineStr">
        <is>
          <t>UK Army</t>
        </is>
      </c>
      <c r="B198" t="inlineStr">
        <is>
          <t>running</t>
        </is>
      </c>
      <c r="C198" t="inlineStr">
        <is>
          <t>2 km run</t>
        </is>
      </c>
      <c r="D198" t="inlineStr">
        <is>
          <t>sec</t>
        </is>
      </c>
      <c r="E198" t="inlineStr">
        <is>
          <t>lower-is-better</t>
        </is>
      </c>
      <c r="F198" t="inlineStr">
        <is>
          <t>10:30</t>
        </is>
      </c>
      <c r="G198" t="inlineStr">
        <is>
          <t>9:30</t>
        </is>
      </c>
      <c r="H198" t="inlineStr">
        <is>
          <t>8:30</t>
        </is>
      </c>
      <c r="I198" t="inlineStr">
        <is>
          <t>7:45</t>
        </is>
      </c>
      <c r="J198" t="inlineStr">
        <is>
          <t>SCR 2 km best-effort run.</t>
        </is>
      </c>
      <c r="K198" t="inlineStr">
        <is>
          <t>not in app — xlsx canonical</t>
        </is>
      </c>
    </row>
    <row r="199">
      <c r="A199" t="inlineStr">
        <is>
          <t>UK Army</t>
        </is>
      </c>
      <c r="B199" t="inlineStr">
        <is>
          <t>rucking</t>
        </is>
      </c>
      <c r="C199" t="inlineStr">
        <is>
          <t>6-mile loaded march (15 kg)</t>
        </is>
      </c>
      <c r="D199" t="inlineStr">
        <is>
          <t>sec</t>
        </is>
      </c>
      <c r="E199" t="inlineStr">
        <is>
          <t>lower-is-better</t>
        </is>
      </c>
      <c r="F199" t="inlineStr">
        <is>
          <t>1:30:00</t>
        </is>
      </c>
      <c r="G199" t="inlineStr">
        <is>
          <t>1:20:00</t>
        </is>
      </c>
      <c r="H199" t="inlineStr">
        <is>
          <t>1:15:00</t>
        </is>
      </c>
      <c r="I199" t="inlineStr">
        <is>
          <t>1:10:00</t>
        </is>
      </c>
      <c r="J199" t="inlineStr">
        <is>
          <t>UK CFT non-Infantry trade standard.</t>
        </is>
      </c>
    </row>
    <row r="200">
      <c r="A200" t="inlineStr">
        <is>
          <t>UK Army</t>
        </is>
      </c>
      <c r="B200" t="inlineStr">
        <is>
          <t>lower_strength</t>
        </is>
      </c>
      <c r="C200" t="inlineStr">
        <is>
          <t>Back Squat</t>
        </is>
      </c>
      <c r="D200" t="inlineStr">
        <is>
          <t>kg</t>
        </is>
      </c>
      <c r="E200" t="inlineStr">
        <is>
          <t>higher-is-better</t>
        </is>
      </c>
      <c r="F200">
        <f>IFERROR(VLOOKUP("UK Army",'Strength by pathway'!$A:$AG,2,FALSE),"—")</f>
        <v/>
      </c>
      <c r="G200">
        <f>IFERROR(VLOOKUP("UK Army",'Strength by pathway'!$A:$AG,3,FALSE),"—")</f>
        <v/>
      </c>
      <c r="H200">
        <f>IFERROR(VLOOKUP("UK Army",'Strength by pathway'!$A:$AG,4,FALSE),"—")</f>
        <v/>
      </c>
      <c r="I200">
        <f>IFERROR(VLOOKUP("UK Army",'Strength by pathway'!$A:$AG,5,FALSE),"—")</f>
        <v/>
      </c>
    </row>
    <row r="201">
      <c r="A201" t="inlineStr">
        <is>
          <t>UK Army</t>
        </is>
      </c>
      <c r="B201" t="inlineStr">
        <is>
          <t>lower_strength</t>
        </is>
      </c>
      <c r="C201" t="inlineStr">
        <is>
          <t>Hex-bar DL</t>
        </is>
      </c>
      <c r="D201" t="inlineStr">
        <is>
          <t>kg</t>
        </is>
      </c>
      <c r="E201" t="inlineStr">
        <is>
          <t>higher-is-better</t>
        </is>
      </c>
      <c r="F201">
        <f>IFERROR(VLOOKUP("UK Army",'Strength by pathway'!$A:$AG,6,FALSE),"—")</f>
        <v/>
      </c>
      <c r="G201">
        <f>IFERROR(VLOOKUP("UK Army",'Strength by pathway'!$A:$AG,7,FALSE),"—")</f>
        <v/>
      </c>
      <c r="H201">
        <f>IFERROR(VLOOKUP("UK Army",'Strength by pathway'!$A:$AG,8,FALSE),"—")</f>
        <v/>
      </c>
      <c r="I201">
        <f>IFERROR(VLOOKUP("UK Army",'Strength by pathway'!$A:$AG,9,FALSE),"—")</f>
        <v/>
      </c>
    </row>
    <row r="202">
      <c r="A202" t="inlineStr">
        <is>
          <t>UK Army</t>
        </is>
      </c>
      <c r="B202" t="inlineStr">
        <is>
          <t>lower_strength</t>
        </is>
      </c>
      <c r="C202" t="inlineStr">
        <is>
          <t>Conventional DL</t>
        </is>
      </c>
      <c r="D202" t="inlineStr">
        <is>
          <t>kg</t>
        </is>
      </c>
      <c r="E202" t="inlineStr">
        <is>
          <t>higher-is-better</t>
        </is>
      </c>
      <c r="F202">
        <f>IFERROR(VLOOKUP("UK Army",'Strength by pathway'!$A:$AG,10,FALSE),"—")</f>
        <v/>
      </c>
      <c r="G202">
        <f>IFERROR(VLOOKUP("UK Army",'Strength by pathway'!$A:$AG,11,FALSE),"—")</f>
        <v/>
      </c>
      <c r="H202">
        <f>IFERROR(VLOOKUP("UK Army",'Strength by pathway'!$A:$AG,12,FALSE),"—")</f>
        <v/>
      </c>
      <c r="I202">
        <f>IFERROR(VLOOKUP("UK Army",'Strength by pathway'!$A:$AG,13,FALSE),"—")</f>
        <v/>
      </c>
    </row>
    <row r="203">
      <c r="A203" t="inlineStr">
        <is>
          <t>UK Army</t>
        </is>
      </c>
      <c r="B203" t="inlineStr">
        <is>
          <t>upper_strength</t>
        </is>
      </c>
      <c r="C203" t="inlineStr">
        <is>
          <t>Bench Press</t>
        </is>
      </c>
      <c r="D203" t="inlineStr">
        <is>
          <t>kg</t>
        </is>
      </c>
      <c r="E203" t="inlineStr">
        <is>
          <t>higher-is-better</t>
        </is>
      </c>
      <c r="F203">
        <f>IFERROR(VLOOKUP("UK Army",'Strength by pathway'!$A:$AG,14,FALSE),"—")</f>
        <v/>
      </c>
      <c r="G203">
        <f>IFERROR(VLOOKUP("UK Army",'Strength by pathway'!$A:$AG,15,FALSE),"—")</f>
        <v/>
      </c>
      <c r="H203">
        <f>IFERROR(VLOOKUP("UK Army",'Strength by pathway'!$A:$AG,16,FALSE),"—")</f>
        <v/>
      </c>
      <c r="I203">
        <f>IFERROR(VLOOKUP("UK Army",'Strength by pathway'!$A:$AG,17,FALSE),"—")</f>
        <v/>
      </c>
    </row>
    <row r="204">
      <c r="A204" t="inlineStr">
        <is>
          <t>UK Army</t>
        </is>
      </c>
      <c r="B204" t="inlineStr">
        <is>
          <t>upper_endurance</t>
        </is>
      </c>
      <c r="C204" t="inlineStr">
        <is>
          <t>Pull-ups (no time)</t>
        </is>
      </c>
      <c r="D204" t="inlineStr">
        <is>
          <t>reps</t>
        </is>
      </c>
      <c r="E204" t="inlineStr">
        <is>
          <t>higher-is-better</t>
        </is>
      </c>
      <c r="F204" t="n">
        <v>3</v>
      </c>
      <c r="G204" t="n">
        <v>8</v>
      </c>
      <c r="H204" t="n">
        <v>14</v>
      </c>
      <c r="I204" t="n">
        <v>20</v>
      </c>
    </row>
    <row r="205">
      <c r="A205" t="inlineStr">
        <is>
          <t>UK Army</t>
        </is>
      </c>
      <c r="B205" t="inlineStr">
        <is>
          <t>upper_endurance</t>
        </is>
      </c>
      <c r="C205" t="inlineStr">
        <is>
          <t>Push-ups (2 min)</t>
        </is>
      </c>
      <c r="D205" t="inlineStr">
        <is>
          <t>reps</t>
        </is>
      </c>
      <c r="E205" t="inlineStr">
        <is>
          <t>higher-is-better</t>
        </is>
      </c>
      <c r="F205" t="n">
        <v>30</v>
      </c>
      <c r="G205" t="n">
        <v>50</v>
      </c>
      <c r="H205" t="n">
        <v>70</v>
      </c>
      <c r="I205" t="n">
        <v>90</v>
      </c>
    </row>
    <row r="206">
      <c r="A206" t="inlineStr">
        <is>
          <t>UK Army</t>
        </is>
      </c>
      <c r="B206" t="inlineStr">
        <is>
          <t>core_endurance</t>
        </is>
      </c>
      <c r="C206" t="inlineStr">
        <is>
          <t>Sit-ups (2 min)</t>
        </is>
      </c>
      <c r="D206" t="inlineStr">
        <is>
          <t>reps</t>
        </is>
      </c>
      <c r="E206" t="inlineStr">
        <is>
          <t>higher-is-better</t>
        </is>
      </c>
      <c r="F206" t="n">
        <v>35</v>
      </c>
      <c r="G206" t="n">
        <v>55</v>
      </c>
      <c r="H206" t="n">
        <v>75</v>
      </c>
      <c r="I206" t="n">
        <v>95</v>
      </c>
    </row>
    <row r="207">
      <c r="A207" t="inlineStr">
        <is>
          <t>UK Army</t>
        </is>
      </c>
      <c r="B207" t="inlineStr">
        <is>
          <t>stability</t>
        </is>
      </c>
      <c r="C207" t="inlineStr">
        <is>
          <t>Plank (front)</t>
        </is>
      </c>
      <c r="D207" t="inlineStr">
        <is>
          <t>sec</t>
        </is>
      </c>
      <c r="E207" t="inlineStr">
        <is>
          <t>higher-is-better</t>
        </is>
      </c>
      <c r="F207" t="inlineStr">
        <is>
          <t>1:30</t>
        </is>
      </c>
      <c r="G207" t="inlineStr">
        <is>
          <t>2:30</t>
        </is>
      </c>
      <c r="H207" t="inlineStr">
        <is>
          <t>3:30</t>
        </is>
      </c>
      <c r="I207" t="inlineStr">
        <is>
          <t>4:30</t>
        </is>
      </c>
    </row>
    <row r="208">
      <c r="A208" t="inlineStr">
        <is>
          <t>UK Army</t>
        </is>
      </c>
      <c r="B208" t="inlineStr">
        <is>
          <t>stability</t>
        </is>
      </c>
      <c r="C208" t="inlineStr">
        <is>
          <t>Side plank (per side)</t>
        </is>
      </c>
      <c r="D208" t="inlineStr">
        <is>
          <t>sec</t>
        </is>
      </c>
      <c r="E208" t="inlineStr">
        <is>
          <t>higher-is-better</t>
        </is>
      </c>
      <c r="F208" t="inlineStr">
        <is>
          <t>1:00</t>
        </is>
      </c>
      <c r="G208" t="inlineStr">
        <is>
          <t>1:30</t>
        </is>
      </c>
      <c r="H208" t="inlineStr">
        <is>
          <t>2:00</t>
        </is>
      </c>
      <c r="I208" t="inlineStr">
        <is>
          <t>3:00</t>
        </is>
      </c>
    </row>
    <row r="209">
      <c r="A209" t="inlineStr">
        <is>
          <t>UK Army</t>
        </is>
      </c>
      <c r="B209" t="inlineStr">
        <is>
          <t>grip</t>
        </is>
      </c>
      <c r="C209" t="inlineStr">
        <is>
          <t>Dead hang (grip)</t>
        </is>
      </c>
      <c r="D209" t="inlineStr">
        <is>
          <t>sec</t>
        </is>
      </c>
      <c r="E209" t="inlineStr">
        <is>
          <t>higher-is-better</t>
        </is>
      </c>
      <c r="F209">
        <f>IFERROR(VLOOKUP("UK Army",'Strength by pathway'!$A:$AG,30,FALSE),"—")</f>
        <v/>
      </c>
      <c r="G209">
        <f>IFERROR(VLOOKUP("UK Army",'Strength by pathway'!$A:$AG,31,FALSE),"—")</f>
        <v/>
      </c>
      <c r="H209">
        <f>IFERROR(VLOOKUP("UK Army",'Strength by pathway'!$A:$AG,32,FALSE),"—")</f>
        <v/>
      </c>
      <c r="I209">
        <f>IFERROR(VLOOKUP("UK Army",'Strength by pathway'!$A:$AG,33,FALSE),"—")</f>
        <v/>
      </c>
    </row>
    <row r="210">
      <c r="A210" t="inlineStr">
        <is>
          <t>UK Army</t>
        </is>
      </c>
      <c r="B210" t="inlineStr">
        <is>
          <t>power</t>
        </is>
      </c>
      <c r="C210" t="inlineStr">
        <is>
          <t>Power Clean</t>
        </is>
      </c>
      <c r="D210" t="inlineStr">
        <is>
          <t>kg</t>
        </is>
      </c>
      <c r="E210" t="inlineStr">
        <is>
          <t>higher-is-better</t>
        </is>
      </c>
      <c r="F210">
        <f>IFERROR(VLOOKUP("UK Army",'Strength by pathway'!$A:$AG,22,FALSE),"—")</f>
        <v/>
      </c>
      <c r="G210">
        <f>IFERROR(VLOOKUP("UK Army",'Strength by pathway'!$A:$AG,23,FALSE),"—")</f>
        <v/>
      </c>
      <c r="H210">
        <f>IFERROR(VLOOKUP("UK Army",'Strength by pathway'!$A:$AG,24,FALSE),"—")</f>
        <v/>
      </c>
      <c r="I210">
        <f>IFERROR(VLOOKUP("UK Army",'Strength by pathway'!$A:$AG,25,FALSE),"—")</f>
        <v/>
      </c>
    </row>
    <row r="211">
      <c r="A211" t="inlineStr">
        <is>
          <t>UK Army</t>
        </is>
      </c>
      <c r="B211" t="inlineStr">
        <is>
          <t>power</t>
        </is>
      </c>
      <c r="C211" t="inlineStr">
        <is>
          <t>Broad Jump</t>
        </is>
      </c>
      <c r="D211" t="inlineStr">
        <is>
          <t>m</t>
        </is>
      </c>
      <c r="E211" t="inlineStr">
        <is>
          <t>higher-is-better</t>
        </is>
      </c>
      <c r="F211">
        <f>IFERROR(VLOOKUP("UK Army",'Strength by pathway'!$A:$AG,26,FALSE),"—")</f>
        <v/>
      </c>
      <c r="G211">
        <f>IFERROR(VLOOKUP("UK Army",'Strength by pathway'!$A:$AG,27,FALSE),"—")</f>
        <v/>
      </c>
      <c r="H211">
        <f>IFERROR(VLOOKUP("UK Army",'Strength by pathway'!$A:$AG,28,FALSE),"—")</f>
        <v/>
      </c>
      <c r="I211">
        <f>IFERROR(VLOOKUP("UK Army",'Strength by pathway'!$A:$AG,29,FALSE),"—")</f>
        <v/>
      </c>
    </row>
    <row r="212">
      <c r="A212" t="inlineStr">
        <is>
          <t>UK Infantry</t>
        </is>
      </c>
      <c r="B212" t="inlineStr">
        <is>
          <t>running</t>
        </is>
      </c>
      <c r="C212" t="inlineStr">
        <is>
          <t>1.5-mile run (best effort)</t>
        </is>
      </c>
      <c r="D212" t="inlineStr">
        <is>
          <t>sec</t>
        </is>
      </c>
      <c r="E212" t="inlineStr">
        <is>
          <t>lower-is-better</t>
        </is>
      </c>
      <c r="F212" t="inlineStr">
        <is>
          <t>10:30</t>
        </is>
      </c>
      <c r="G212" t="inlineStr">
        <is>
          <t>9:30</t>
        </is>
      </c>
      <c r="H212" t="inlineStr">
        <is>
          <t>8:30</t>
        </is>
      </c>
      <c r="I212" t="inlineStr">
        <is>
          <t>8:00</t>
        </is>
      </c>
      <c r="J212" t="inlineStr">
        <is>
          <t>Infantry trade best-effort 1.5-mile.</t>
        </is>
      </c>
      <c r="K212" t="inlineStr">
        <is>
          <t>not in app — xlsx canonical</t>
        </is>
      </c>
    </row>
    <row r="213">
      <c r="A213" t="inlineStr">
        <is>
          <t>UK Infantry</t>
        </is>
      </c>
      <c r="B213" t="inlineStr">
        <is>
          <t>rucking</t>
        </is>
      </c>
      <c r="C213" t="inlineStr">
        <is>
          <t>8-mile loaded march (25 kg)</t>
        </is>
      </c>
      <c r="D213" t="inlineStr">
        <is>
          <t>sec</t>
        </is>
      </c>
      <c r="E213" t="inlineStr">
        <is>
          <t>lower-is-better</t>
        </is>
      </c>
      <c r="F213" t="inlineStr">
        <is>
          <t>2:00:00</t>
        </is>
      </c>
      <c r="G213" t="inlineStr">
        <is>
          <t>1:55:00</t>
        </is>
      </c>
      <c r="H213" t="inlineStr">
        <is>
          <t>1:50:00</t>
        </is>
      </c>
      <c r="I213" t="inlineStr">
        <is>
          <t>1:40:00</t>
        </is>
      </c>
      <c r="J213" t="inlineStr">
        <is>
          <t>UK AFT Infantry — sub-2 h pass.</t>
        </is>
      </c>
    </row>
    <row r="214">
      <c r="A214" t="inlineStr">
        <is>
          <t>UK Infantry</t>
        </is>
      </c>
      <c r="B214" t="inlineStr">
        <is>
          <t>lower_strength</t>
        </is>
      </c>
      <c r="C214" t="inlineStr">
        <is>
          <t>Back Squat</t>
        </is>
      </c>
      <c r="D214" t="inlineStr">
        <is>
          <t>kg</t>
        </is>
      </c>
      <c r="E214" t="inlineStr">
        <is>
          <t>higher-is-better</t>
        </is>
      </c>
      <c r="F214">
        <f>IFERROR(VLOOKUP("UK Infantry",'Strength by pathway'!$A:$AG,2,FALSE),"—")</f>
        <v/>
      </c>
      <c r="G214">
        <f>IFERROR(VLOOKUP("UK Infantry",'Strength by pathway'!$A:$AG,3,FALSE),"—")</f>
        <v/>
      </c>
      <c r="H214">
        <f>IFERROR(VLOOKUP("UK Infantry",'Strength by pathway'!$A:$AG,4,FALSE),"—")</f>
        <v/>
      </c>
      <c r="I214">
        <f>IFERROR(VLOOKUP("UK Infantry",'Strength by pathway'!$A:$AG,5,FALSE),"—")</f>
        <v/>
      </c>
    </row>
    <row r="215">
      <c r="A215" t="inlineStr">
        <is>
          <t>UK Infantry</t>
        </is>
      </c>
      <c r="B215" t="inlineStr">
        <is>
          <t>lower_strength</t>
        </is>
      </c>
      <c r="C215" t="inlineStr">
        <is>
          <t>Hex-bar DL</t>
        </is>
      </c>
      <c r="D215" t="inlineStr">
        <is>
          <t>kg</t>
        </is>
      </c>
      <c r="E215" t="inlineStr">
        <is>
          <t>higher-is-better</t>
        </is>
      </c>
      <c r="F215">
        <f>IFERROR(VLOOKUP("UK Infantry",'Strength by pathway'!$A:$AG,6,FALSE),"—")</f>
        <v/>
      </c>
      <c r="G215">
        <f>IFERROR(VLOOKUP("UK Infantry",'Strength by pathway'!$A:$AG,7,FALSE),"—")</f>
        <v/>
      </c>
      <c r="H215">
        <f>IFERROR(VLOOKUP("UK Infantry",'Strength by pathway'!$A:$AG,8,FALSE),"—")</f>
        <v/>
      </c>
      <c r="I215">
        <f>IFERROR(VLOOKUP("UK Infantry",'Strength by pathway'!$A:$AG,9,FALSE),"—")</f>
        <v/>
      </c>
    </row>
    <row r="216">
      <c r="A216" t="inlineStr">
        <is>
          <t>UK Infantry</t>
        </is>
      </c>
      <c r="B216" t="inlineStr">
        <is>
          <t>lower_strength</t>
        </is>
      </c>
      <c r="C216" t="inlineStr">
        <is>
          <t>Conventional DL</t>
        </is>
      </c>
      <c r="D216" t="inlineStr">
        <is>
          <t>kg</t>
        </is>
      </c>
      <c r="E216" t="inlineStr">
        <is>
          <t>higher-is-better</t>
        </is>
      </c>
      <c r="F216">
        <f>IFERROR(VLOOKUP("UK Infantry",'Strength by pathway'!$A:$AG,10,FALSE),"—")</f>
        <v/>
      </c>
      <c r="G216">
        <f>IFERROR(VLOOKUP("UK Infantry",'Strength by pathway'!$A:$AG,11,FALSE),"—")</f>
        <v/>
      </c>
      <c r="H216">
        <f>IFERROR(VLOOKUP("UK Infantry",'Strength by pathway'!$A:$AG,12,FALSE),"—")</f>
        <v/>
      </c>
      <c r="I216">
        <f>IFERROR(VLOOKUP("UK Infantry",'Strength by pathway'!$A:$AG,13,FALSE),"—")</f>
        <v/>
      </c>
    </row>
    <row r="217">
      <c r="A217" t="inlineStr">
        <is>
          <t>UK Infantry</t>
        </is>
      </c>
      <c r="B217" t="inlineStr">
        <is>
          <t>upper_strength</t>
        </is>
      </c>
      <c r="C217" t="inlineStr">
        <is>
          <t>Bench Press</t>
        </is>
      </c>
      <c r="D217" t="inlineStr">
        <is>
          <t>kg</t>
        </is>
      </c>
      <c r="E217" t="inlineStr">
        <is>
          <t>higher-is-better</t>
        </is>
      </c>
      <c r="F217">
        <f>IFERROR(VLOOKUP("UK Infantry",'Strength by pathway'!$A:$AG,14,FALSE),"—")</f>
        <v/>
      </c>
      <c r="G217">
        <f>IFERROR(VLOOKUP("UK Infantry",'Strength by pathway'!$A:$AG,15,FALSE),"—")</f>
        <v/>
      </c>
      <c r="H217">
        <f>IFERROR(VLOOKUP("UK Infantry",'Strength by pathway'!$A:$AG,16,FALSE),"—")</f>
        <v/>
      </c>
      <c r="I217">
        <f>IFERROR(VLOOKUP("UK Infantry",'Strength by pathway'!$A:$AG,17,FALSE),"—")</f>
        <v/>
      </c>
    </row>
    <row r="218">
      <c r="A218" t="inlineStr">
        <is>
          <t>UK Infantry</t>
        </is>
      </c>
      <c r="B218" t="inlineStr">
        <is>
          <t>upper_endurance</t>
        </is>
      </c>
      <c r="C218" t="inlineStr">
        <is>
          <t>Pull-ups (no time)</t>
        </is>
      </c>
      <c r="D218" t="inlineStr">
        <is>
          <t>reps</t>
        </is>
      </c>
      <c r="E218" t="inlineStr">
        <is>
          <t>higher-is-better</t>
        </is>
      </c>
      <c r="F218" t="n">
        <v>6</v>
      </c>
      <c r="G218" t="n">
        <v>12</v>
      </c>
      <c r="H218" t="n">
        <v>18</v>
      </c>
      <c r="I218" t="n">
        <v>25</v>
      </c>
    </row>
    <row r="219">
      <c r="A219" t="inlineStr">
        <is>
          <t>UK Infantry</t>
        </is>
      </c>
      <c r="B219" t="inlineStr">
        <is>
          <t>upper_endurance</t>
        </is>
      </c>
      <c r="C219" t="inlineStr">
        <is>
          <t>Push-ups (2 min)</t>
        </is>
      </c>
      <c r="D219" t="inlineStr">
        <is>
          <t>reps</t>
        </is>
      </c>
      <c r="E219" t="inlineStr">
        <is>
          <t>higher-is-better</t>
        </is>
      </c>
      <c r="F219" t="n">
        <v>45</v>
      </c>
      <c r="G219" t="n">
        <v>65</v>
      </c>
      <c r="H219" t="n">
        <v>80</v>
      </c>
      <c r="I219" t="n">
        <v>100</v>
      </c>
    </row>
    <row r="220">
      <c r="A220" t="inlineStr">
        <is>
          <t>UK Infantry</t>
        </is>
      </c>
      <c r="B220" t="inlineStr">
        <is>
          <t>core_endurance</t>
        </is>
      </c>
      <c r="C220" t="inlineStr">
        <is>
          <t>Sit-ups (2 min)</t>
        </is>
      </c>
      <c r="D220" t="inlineStr">
        <is>
          <t>reps</t>
        </is>
      </c>
      <c r="E220" t="inlineStr">
        <is>
          <t>higher-is-better</t>
        </is>
      </c>
      <c r="F220" t="n">
        <v>50</v>
      </c>
      <c r="G220" t="n">
        <v>70</v>
      </c>
      <c r="H220" t="n">
        <v>90</v>
      </c>
      <c r="I220" t="n">
        <v>110</v>
      </c>
    </row>
    <row r="221">
      <c r="A221" t="inlineStr">
        <is>
          <t>UK Infantry</t>
        </is>
      </c>
      <c r="B221" t="inlineStr">
        <is>
          <t>stability</t>
        </is>
      </c>
      <c r="C221" t="inlineStr">
        <is>
          <t>Plank (front)</t>
        </is>
      </c>
      <c r="D221" t="inlineStr">
        <is>
          <t>sec</t>
        </is>
      </c>
      <c r="E221" t="inlineStr">
        <is>
          <t>higher-is-better</t>
        </is>
      </c>
      <c r="F221" t="inlineStr">
        <is>
          <t>1:30</t>
        </is>
      </c>
      <c r="G221" t="inlineStr">
        <is>
          <t>2:30</t>
        </is>
      </c>
      <c r="H221" t="inlineStr">
        <is>
          <t>3:30</t>
        </is>
      </c>
      <c r="I221" t="inlineStr">
        <is>
          <t>4:30</t>
        </is>
      </c>
    </row>
    <row r="222">
      <c r="A222" t="inlineStr">
        <is>
          <t>UK Infantry</t>
        </is>
      </c>
      <c r="B222" t="inlineStr">
        <is>
          <t>stability</t>
        </is>
      </c>
      <c r="C222" t="inlineStr">
        <is>
          <t>Side plank (per side)</t>
        </is>
      </c>
      <c r="D222" t="inlineStr">
        <is>
          <t>sec</t>
        </is>
      </c>
      <c r="E222" t="inlineStr">
        <is>
          <t>higher-is-better</t>
        </is>
      </c>
      <c r="F222" t="inlineStr">
        <is>
          <t>1:00</t>
        </is>
      </c>
      <c r="G222" t="inlineStr">
        <is>
          <t>1:30</t>
        </is>
      </c>
      <c r="H222" t="inlineStr">
        <is>
          <t>2:00</t>
        </is>
      </c>
      <c r="I222" t="inlineStr">
        <is>
          <t>3:00</t>
        </is>
      </c>
    </row>
    <row r="223">
      <c r="A223" t="inlineStr">
        <is>
          <t>UK Infantry</t>
        </is>
      </c>
      <c r="B223" t="inlineStr">
        <is>
          <t>grip</t>
        </is>
      </c>
      <c r="C223" t="inlineStr">
        <is>
          <t>Dead hang (grip)</t>
        </is>
      </c>
      <c r="D223" t="inlineStr">
        <is>
          <t>sec</t>
        </is>
      </c>
      <c r="E223" t="inlineStr">
        <is>
          <t>higher-is-better</t>
        </is>
      </c>
      <c r="F223">
        <f>IFERROR(VLOOKUP("UK Infantry",'Strength by pathway'!$A:$AG,30,FALSE),"—")</f>
        <v/>
      </c>
      <c r="G223">
        <f>IFERROR(VLOOKUP("UK Infantry",'Strength by pathway'!$A:$AG,31,FALSE),"—")</f>
        <v/>
      </c>
      <c r="H223">
        <f>IFERROR(VLOOKUP("UK Infantry",'Strength by pathway'!$A:$AG,32,FALSE),"—")</f>
        <v/>
      </c>
      <c r="I223">
        <f>IFERROR(VLOOKUP("UK Infantry",'Strength by pathway'!$A:$AG,33,FALSE),"—")</f>
        <v/>
      </c>
    </row>
    <row r="225">
      <c r="A225" t="inlineStr">
        <is>
          <t>US Army Ranger RASP (Entry)</t>
        </is>
      </c>
      <c r="B225" t="inlineStr">
        <is>
          <t>upper_endurance</t>
        </is>
      </c>
      <c r="C225" t="inlineStr">
        <is>
          <t>Push-ups (2 min)</t>
        </is>
      </c>
      <c r="D225" t="inlineStr">
        <is>
          <t>reps</t>
        </is>
      </c>
      <c r="E225" t="inlineStr">
        <is>
          <t>higher-is-better</t>
        </is>
      </c>
      <c r="F225" t="n">
        <v>49</v>
      </c>
      <c r="H225" t="n">
        <v>70</v>
      </c>
      <c r="I225" t="n">
        <v>90</v>
      </c>
      <c r="J225" t="inlineStr">
        <is>
          <t>RASP entry. App tiers: pass / selection / excellent.</t>
        </is>
      </c>
      <c r="K225" t="inlineStr">
        <is>
          <t>added 2026-05-21 from benchmark_tests.ts</t>
        </is>
      </c>
    </row>
    <row r="226">
      <c r="A226" t="inlineStr">
        <is>
          <t>US Army Ranger RASP (Entry)</t>
        </is>
      </c>
      <c r="B226" t="inlineStr">
        <is>
          <t>core_endurance</t>
        </is>
      </c>
      <c r="C226" t="inlineStr">
        <is>
          <t>Sit-ups (2 min)</t>
        </is>
      </c>
      <c r="D226" t="inlineStr">
        <is>
          <t>reps</t>
        </is>
      </c>
      <c r="E226" t="inlineStr">
        <is>
          <t>higher-is-better</t>
        </is>
      </c>
      <c r="F226" t="n">
        <v>59</v>
      </c>
      <c r="H226" t="n">
        <v>80</v>
      </c>
      <c r="I226" t="n">
        <v>100</v>
      </c>
      <c r="J226" t="inlineStr">
        <is>
          <t>RASP entry. App tiers: pass / selection / excellent.</t>
        </is>
      </c>
    </row>
    <row r="227">
      <c r="A227" t="inlineStr">
        <is>
          <t>US Army Ranger RASP (Entry)</t>
        </is>
      </c>
      <c r="B227" t="inlineStr">
        <is>
          <t>upper_endurance</t>
        </is>
      </c>
      <c r="C227" t="inlineStr">
        <is>
          <t>Pull-ups (no time)</t>
        </is>
      </c>
      <c r="D227" t="inlineStr">
        <is>
          <t>reps</t>
        </is>
      </c>
      <c r="E227" t="inlineStr">
        <is>
          <t>higher-is-better</t>
        </is>
      </c>
      <c r="F227" t="n">
        <v>6</v>
      </c>
      <c r="H227" t="n">
        <v>12</v>
      </c>
      <c r="I227" t="n">
        <v>20</v>
      </c>
      <c r="J227" t="inlineStr">
        <is>
          <t>Ranger PT Test minimum.</t>
        </is>
      </c>
    </row>
    <row r="228">
      <c r="A228" t="inlineStr">
        <is>
          <t>US Army Ranger RASP (Entry)</t>
        </is>
      </c>
      <c r="B228" t="inlineStr">
        <is>
          <t>running</t>
        </is>
      </c>
      <c r="C228" t="inlineStr">
        <is>
          <t>5-mile run</t>
        </is>
      </c>
      <c r="D228" t="inlineStr">
        <is>
          <t>min:sec</t>
        </is>
      </c>
      <c r="E228" t="inlineStr">
        <is>
          <t>lower-is-better</t>
        </is>
      </c>
      <c r="F228" t="inlineStr">
        <is>
          <t>40:00</t>
        </is>
      </c>
      <c r="H228" t="inlineStr">
        <is>
          <t>35:00</t>
        </is>
      </c>
      <c r="I228" t="inlineStr">
        <is>
          <t>32:00</t>
        </is>
      </c>
      <c r="J228" t="inlineStr">
        <is>
          <t>RASP — 8:00/mile pace.</t>
        </is>
      </c>
    </row>
    <row r="229">
      <c r="A229" t="inlineStr">
        <is>
          <t>US Army Ranger RASP (Entry)</t>
        </is>
      </c>
      <c r="B229" t="inlineStr">
        <is>
          <t>rucking</t>
        </is>
      </c>
      <c r="C229" t="inlineStr">
        <is>
          <t>12-mile ruck (35 lb)</t>
        </is>
      </c>
      <c r="D229" t="inlineStr">
        <is>
          <t>h:mm:ss</t>
        </is>
      </c>
      <c r="E229" t="inlineStr">
        <is>
          <t>lower-is-better</t>
        </is>
      </c>
      <c r="F229" t="inlineStr">
        <is>
          <t>3:00:00</t>
        </is>
      </c>
      <c r="H229" t="inlineStr">
        <is>
          <t>2:45:00</t>
        </is>
      </c>
      <c r="I229" t="inlineStr">
        <is>
          <t>2:30:00</t>
        </is>
      </c>
      <c r="J229" t="inlineStr">
        <is>
          <t>RASP — 15:00/mile pace.</t>
        </is>
      </c>
    </row>
    <row r="230">
      <c r="A230" t="inlineStr">
        <is>
          <t>US Army Ranger RASP (Entry)</t>
        </is>
      </c>
      <c r="B230" t="inlineStr">
        <is>
          <t>swimming</t>
        </is>
      </c>
      <c r="C230" t="inlineStr">
        <is>
          <t>CWST (pass/fail)</t>
        </is>
      </c>
      <c r="D230" t="inlineStr">
        <is>
          <t>pass=1</t>
        </is>
      </c>
      <c r="E230" t="inlineStr">
        <is>
          <t>higher-is-better</t>
        </is>
      </c>
      <c r="F230" t="n">
        <v>1</v>
      </c>
      <c r="J230" t="inlineStr">
        <is>
          <t>15-m swim w/ kit, 3-m drop, ditch &amp; don.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G15" sqref="G15"/>
    </sheetView>
  </sheetViews>
  <sheetFormatPr baseColWidth="10" defaultColWidth="8.83203125" defaultRowHeight="15"/>
  <cols>
    <col width="32" customWidth="1" min="1" max="1"/>
    <col width="14" customWidth="1" min="2" max="12"/>
  </cols>
  <sheetData>
    <row r="1" ht="32" customHeight="1">
      <c r="A1" s="4" t="inlineStr">
        <is>
          <t>Pathway</t>
        </is>
      </c>
      <c r="B1" s="4" t="inlineStr">
        <is>
          <t>running</t>
        </is>
      </c>
      <c r="C1" s="4" t="inlineStr">
        <is>
          <t>rucking</t>
        </is>
      </c>
      <c r="D1" s="4" t="inlineStr">
        <is>
          <t>swimming</t>
        </is>
      </c>
      <c r="E1" s="4" t="inlineStr">
        <is>
          <t>lower_strength</t>
        </is>
      </c>
      <c r="F1" s="4" t="inlineStr">
        <is>
          <t>upper_strength</t>
        </is>
      </c>
      <c r="G1" s="4" t="inlineStr">
        <is>
          <t>upper_endurance</t>
        </is>
      </c>
      <c r="H1" s="4" t="inlineStr">
        <is>
          <t>core_endurance</t>
        </is>
      </c>
      <c r="I1" s="4" t="inlineStr">
        <is>
          <t>stability</t>
        </is>
      </c>
      <c r="J1" s="4" t="inlineStr">
        <is>
          <t>grip</t>
        </is>
      </c>
      <c r="K1" s="4" t="inlineStr">
        <is>
          <t>power</t>
        </is>
      </c>
      <c r="L1" s="4" t="inlineStr">
        <is>
          <t>SUM</t>
        </is>
      </c>
    </row>
    <row r="2">
      <c r="A2" s="5" t="inlineStr">
        <is>
          <t>UK Parachute Regiment (P Coy)</t>
        </is>
      </c>
      <c r="B2" s="6" t="n">
        <v>30</v>
      </c>
      <c r="C2" s="6" t="n">
        <v>30</v>
      </c>
      <c r="D2" s="6" t="n">
        <v>0</v>
      </c>
      <c r="E2" s="6" t="n">
        <v>10</v>
      </c>
      <c r="F2" s="6" t="n">
        <v>5</v>
      </c>
      <c r="G2" s="6" t="n">
        <v>10</v>
      </c>
      <c r="H2" s="6" t="n">
        <v>5</v>
      </c>
      <c r="I2" s="6" t="n">
        <v>10</v>
      </c>
      <c r="J2" s="6" t="n">
        <v>0</v>
      </c>
      <c r="K2" s="6" t="n">
        <v>0</v>
      </c>
      <c r="L2" s="6">
        <f>SUM(B2:K2)</f>
        <v/>
      </c>
    </row>
    <row r="3">
      <c r="A3" s="5" t="inlineStr">
        <is>
          <t>UK Royal Marines (Cdo Course)</t>
        </is>
      </c>
      <c r="B3" s="6" t="n">
        <v>15</v>
      </c>
      <c r="C3" s="6" t="n">
        <v>15</v>
      </c>
      <c r="D3" s="6" t="n">
        <v>5</v>
      </c>
      <c r="E3" s="6" t="n">
        <v>10</v>
      </c>
      <c r="F3" s="6" t="n">
        <v>5</v>
      </c>
      <c r="G3" s="6" t="n">
        <v>15</v>
      </c>
      <c r="H3" s="6" t="n">
        <v>10</v>
      </c>
      <c r="I3" s="6" t="n">
        <v>15</v>
      </c>
      <c r="J3" s="6" t="n">
        <v>5</v>
      </c>
      <c r="K3" s="6" t="n">
        <v>5</v>
      </c>
      <c r="L3" s="6">
        <f>SUM(B3:K3)</f>
        <v/>
      </c>
    </row>
    <row r="4">
      <c r="A4" s="5" t="inlineStr">
        <is>
          <t>US Marine Corps (PFT/CFT)</t>
        </is>
      </c>
      <c r="B4" s="6" t="n">
        <v>25</v>
      </c>
      <c r="C4" s="6" t="n">
        <v>10</v>
      </c>
      <c r="D4" s="6" t="n">
        <v>0</v>
      </c>
      <c r="E4" s="6" t="n">
        <v>10</v>
      </c>
      <c r="F4" s="6" t="n">
        <v>5</v>
      </c>
      <c r="G4" s="6" t="n">
        <v>25</v>
      </c>
      <c r="H4" s="6" t="n">
        <v>10</v>
      </c>
      <c r="I4" s="6" t="n">
        <v>15</v>
      </c>
      <c r="J4" s="6" t="n">
        <v>0</v>
      </c>
      <c r="K4" s="6" t="n">
        <v>0</v>
      </c>
      <c r="L4" s="6">
        <f>SUM(B4:K4)</f>
        <v/>
      </c>
    </row>
    <row r="5">
      <c r="A5" s="5" t="inlineStr">
        <is>
          <t>US Army Airborne</t>
        </is>
      </c>
      <c r="B5" s="6" t="n">
        <v>25</v>
      </c>
      <c r="C5" s="6" t="n">
        <v>25</v>
      </c>
      <c r="D5" s="6" t="n">
        <v>0</v>
      </c>
      <c r="E5" s="6" t="n">
        <v>10</v>
      </c>
      <c r="F5" s="6" t="n">
        <v>5</v>
      </c>
      <c r="G5" s="6" t="n">
        <v>15</v>
      </c>
      <c r="H5" s="6" t="n">
        <v>10</v>
      </c>
      <c r="I5" s="6" t="n">
        <v>10</v>
      </c>
      <c r="J5" s="6" t="n">
        <v>0</v>
      </c>
      <c r="K5" s="6" t="n">
        <v>0</v>
      </c>
      <c r="L5" s="6">
        <f>SUM(B5:K5)</f>
        <v/>
      </c>
    </row>
    <row r="6">
      <c r="A6" s="5" t="inlineStr">
        <is>
          <t>Navy SEAL (BUD/S)</t>
        </is>
      </c>
      <c r="B6" s="6" t="n">
        <v>20</v>
      </c>
      <c r="C6" s="6" t="n">
        <v>0</v>
      </c>
      <c r="D6" s="6" t="n">
        <v>25</v>
      </c>
      <c r="E6" s="6" t="n">
        <v>5</v>
      </c>
      <c r="F6" s="6" t="n">
        <v>5</v>
      </c>
      <c r="G6" s="6" t="n">
        <v>20</v>
      </c>
      <c r="H6" s="6" t="n">
        <v>15</v>
      </c>
      <c r="I6" s="6" t="n">
        <v>10</v>
      </c>
      <c r="J6" s="6" t="n">
        <v>0</v>
      </c>
      <c r="K6" s="6" t="n">
        <v>0</v>
      </c>
      <c r="L6" s="6">
        <f>SUM(B6:K6)</f>
        <v/>
      </c>
    </row>
    <row r="7">
      <c r="A7" s="5" t="inlineStr">
        <is>
          <t>USAF Pararescue (PJ)</t>
        </is>
      </c>
      <c r="B7" s="6" t="n">
        <v>20</v>
      </c>
      <c r="C7" s="6" t="n">
        <v>10</v>
      </c>
      <c r="D7" s="6" t="n">
        <v>30</v>
      </c>
      <c r="E7" s="6" t="n">
        <v>10</v>
      </c>
      <c r="F7" s="6" t="n">
        <v>0</v>
      </c>
      <c r="G7" s="6" t="n">
        <v>15</v>
      </c>
      <c r="H7" s="6" t="n">
        <v>5</v>
      </c>
      <c r="I7" s="6" t="n">
        <v>10</v>
      </c>
      <c r="J7" s="6" t="n">
        <v>0</v>
      </c>
      <c r="K7" s="6" t="n">
        <v>0</v>
      </c>
      <c r="L7" s="6">
        <f>SUM(B7:K7)</f>
        <v/>
      </c>
    </row>
    <row r="8">
      <c r="A8" s="5" t="inlineStr">
        <is>
          <t>US Army Special Forces (SFAS)</t>
        </is>
      </c>
      <c r="B8" s="6" t="n">
        <v>10</v>
      </c>
      <c r="C8" s="6" t="n">
        <v>25</v>
      </c>
      <c r="D8" s="6" t="n">
        <v>0</v>
      </c>
      <c r="E8" s="6" t="n">
        <v>15</v>
      </c>
      <c r="F8" s="6" t="n">
        <v>10</v>
      </c>
      <c r="G8" s="6" t="n">
        <v>15</v>
      </c>
      <c r="H8" s="6" t="n">
        <v>5</v>
      </c>
      <c r="I8" s="6" t="n">
        <v>10</v>
      </c>
      <c r="J8" s="6" t="n">
        <v>5</v>
      </c>
      <c r="K8" s="6" t="n">
        <v>5</v>
      </c>
      <c r="L8" s="6">
        <f>SUM(B8:K8)</f>
        <v/>
      </c>
    </row>
    <row r="9">
      <c r="A9" s="5" t="inlineStr">
        <is>
          <t>UK Special Forces (SAS/SBS)</t>
        </is>
      </c>
      <c r="B9" s="6" t="n">
        <v>10</v>
      </c>
      <c r="C9" s="6" t="n">
        <v>30</v>
      </c>
      <c r="D9" s="6" t="n">
        <v>0</v>
      </c>
      <c r="E9" s="6" t="n">
        <v>10</v>
      </c>
      <c r="F9" s="6" t="n">
        <v>5</v>
      </c>
      <c r="G9" s="6" t="n">
        <v>15</v>
      </c>
      <c r="H9" s="6" t="n">
        <v>5</v>
      </c>
      <c r="I9" s="6" t="n">
        <v>20</v>
      </c>
      <c r="J9" s="6" t="n">
        <v>5</v>
      </c>
      <c r="K9" s="6" t="n">
        <v>0</v>
      </c>
      <c r="L9" s="6">
        <f>SUM(B9:K9)</f>
        <v/>
      </c>
    </row>
    <row r="10">
      <c r="A10" s="5" t="inlineStr">
        <is>
          <t>Tactical (generic)</t>
        </is>
      </c>
      <c r="B10" s="6" t="n">
        <v>25</v>
      </c>
      <c r="C10" s="6" t="n">
        <v>10</v>
      </c>
      <c r="D10" s="6" t="n">
        <v>0</v>
      </c>
      <c r="E10" s="6" t="n">
        <v>20</v>
      </c>
      <c r="F10" s="6" t="n">
        <v>20</v>
      </c>
      <c r="G10" s="6" t="n">
        <v>10</v>
      </c>
      <c r="H10" s="6" t="n">
        <v>5</v>
      </c>
      <c r="I10" s="6" t="n">
        <v>5</v>
      </c>
      <c r="J10" s="6" t="n">
        <v>0</v>
      </c>
      <c r="K10" s="6" t="n">
        <v>5</v>
      </c>
      <c r="L10" s="6">
        <f>SUM(B10:K10)</f>
        <v/>
      </c>
    </row>
    <row r="12">
      <c r="A12" s="7" t="inlineStr">
        <is>
          <t>Weights for grip + power are placeholders — Phase 12 will rebalance the existing tables.</t>
        </is>
      </c>
    </row>
    <row r="13">
      <c r="A13" t="inlineStr">
        <is>
          <t>Police PT</t>
        </is>
      </c>
      <c r="B13" t="n">
        <v>25</v>
      </c>
      <c r="C13" t="n">
        <v>0</v>
      </c>
      <c r="D13" t="n">
        <v>0</v>
      </c>
      <c r="E13" t="n">
        <v>10</v>
      </c>
      <c r="F13" t="n">
        <v>5</v>
      </c>
      <c r="G13" t="n">
        <v>25</v>
      </c>
      <c r="H13" t="n">
        <v>10</v>
      </c>
      <c r="I13" t="n">
        <v>10</v>
      </c>
      <c r="J13" t="n">
        <v>10</v>
      </c>
      <c r="K13" t="n">
        <v>5</v>
      </c>
      <c r="L13">
        <f>SUM(B13:K13)</f>
        <v/>
      </c>
    </row>
    <row r="14">
      <c r="A14" t="inlineStr">
        <is>
          <t>SWAT / Tactical Team</t>
        </is>
      </c>
      <c r="B14" t="n">
        <v>15</v>
      </c>
      <c r="C14" t="n">
        <v>0</v>
      </c>
      <c r="D14" t="n">
        <v>0</v>
      </c>
      <c r="E14" t="n">
        <v>15</v>
      </c>
      <c r="F14" t="n">
        <v>10</v>
      </c>
      <c r="G14" t="n">
        <v>20</v>
      </c>
      <c r="H14" t="n">
        <v>5</v>
      </c>
      <c r="I14" t="n">
        <v>15</v>
      </c>
      <c r="J14" t="n">
        <v>10</v>
      </c>
      <c r="K14" t="n">
        <v>10</v>
      </c>
      <c r="L14">
        <f>SUM(B14:K14)</f>
        <v/>
      </c>
    </row>
    <row r="15">
      <c r="A15" t="inlineStr">
        <is>
          <t>US Army</t>
        </is>
      </c>
      <c r="B15" t="n">
        <v>20</v>
      </c>
      <c r="C15" t="n">
        <v>15</v>
      </c>
      <c r="D15" t="n">
        <v>0</v>
      </c>
      <c r="E15" t="n">
        <v>10</v>
      </c>
      <c r="F15" t="n">
        <v>5</v>
      </c>
      <c r="G15" t="n">
        <v>20</v>
      </c>
      <c r="H15" t="n">
        <v>10</v>
      </c>
      <c r="I15" t="n">
        <v>10</v>
      </c>
      <c r="J15" t="n">
        <v>5</v>
      </c>
      <c r="K15" t="n">
        <v>5</v>
      </c>
      <c r="L15">
        <f>SUM(B15:K15)</f>
        <v/>
      </c>
    </row>
    <row r="16">
      <c r="A16" t="inlineStr">
        <is>
          <t>US Infantry</t>
        </is>
      </c>
      <c r="B16" t="n">
        <v>15</v>
      </c>
      <c r="C16" t="n">
        <v>25</v>
      </c>
      <c r="D16" t="n">
        <v>0</v>
      </c>
      <c r="E16" t="n">
        <v>15</v>
      </c>
      <c r="F16" t="n">
        <v>5</v>
      </c>
      <c r="G16" t="n">
        <v>20</v>
      </c>
      <c r="H16" t="n">
        <v>5</v>
      </c>
      <c r="I16" t="n">
        <v>10</v>
      </c>
      <c r="J16" t="n">
        <v>5</v>
      </c>
      <c r="K16" t="n">
        <v>0</v>
      </c>
      <c r="L16">
        <f>SUM(B16:K16)</f>
        <v/>
      </c>
    </row>
    <row r="17">
      <c r="A17" t="inlineStr">
        <is>
          <t>UK Army</t>
        </is>
      </c>
      <c r="B17" t="n">
        <v>20</v>
      </c>
      <c r="C17" t="n">
        <v>15</v>
      </c>
      <c r="D17" t="n">
        <v>0</v>
      </c>
      <c r="E17" t="n">
        <v>10</v>
      </c>
      <c r="F17" t="n">
        <v>5</v>
      </c>
      <c r="G17" t="n">
        <v>20</v>
      </c>
      <c r="H17" t="n">
        <v>10</v>
      </c>
      <c r="I17" t="n">
        <v>10</v>
      </c>
      <c r="J17" t="n">
        <v>5</v>
      </c>
      <c r="K17" t="n">
        <v>5</v>
      </c>
      <c r="L17">
        <f>SUM(B17:K17)</f>
        <v/>
      </c>
    </row>
    <row r="18">
      <c r="A18" t="inlineStr">
        <is>
          <t>UK Infantry</t>
        </is>
      </c>
      <c r="B18" t="n">
        <v>15</v>
      </c>
      <c r="C18" t="n">
        <v>25</v>
      </c>
      <c r="D18" t="n">
        <v>0</v>
      </c>
      <c r="E18" t="n">
        <v>15</v>
      </c>
      <c r="F18" t="n">
        <v>5</v>
      </c>
      <c r="G18" t="n">
        <v>20</v>
      </c>
      <c r="H18" t="n">
        <v>5</v>
      </c>
      <c r="I18" t="n">
        <v>10</v>
      </c>
      <c r="J18" t="n">
        <v>5</v>
      </c>
      <c r="K18" t="n">
        <v>0</v>
      </c>
      <c r="L18">
        <f>SUM(B18:K18)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2" customWidth="1" min="1" max="1"/>
    <col width="14" customWidth="1" min="2" max="3"/>
    <col width="52" customWidth="1" min="4" max="4"/>
  </cols>
  <sheetData>
    <row r="1" ht="16" customHeight="1">
      <c r="A1" s="4" t="inlineStr">
        <is>
          <t>Pathway</t>
        </is>
      </c>
      <c r="B1" s="4" t="inlineStr">
        <is>
          <t>Typical BW</t>
        </is>
      </c>
      <c r="C1" s="4" t="inlineStr">
        <is>
          <t>Carry load</t>
        </is>
      </c>
      <c r="D1" s="4" t="inlineStr">
        <is>
          <t>Primary demands</t>
        </is>
      </c>
    </row>
    <row r="2">
      <c r="A2" s="5" t="inlineStr">
        <is>
          <t>UK Parachute Regiment (P Coy)</t>
        </is>
      </c>
      <c r="B2" s="5" t="inlineStr">
        <is>
          <t>75-85 kg</t>
        </is>
      </c>
      <c r="C2" s="5" t="inlineStr">
        <is>
          <t>35 lb bergen</t>
        </is>
      </c>
      <c r="D2" s="5" t="inlineStr">
        <is>
          <t>Light + fast + endurance dominant</t>
        </is>
      </c>
    </row>
    <row r="3">
      <c r="A3" s="5" t="inlineStr">
        <is>
          <t>UK Royal Marines (Cdo Course)</t>
        </is>
      </c>
      <c r="B3" s="5" t="inlineStr">
        <is>
          <t>78-86 kg</t>
        </is>
      </c>
      <c r="C3" s="5" t="inlineStr">
        <is>
          <t>32 lb load</t>
        </is>
      </c>
      <c r="D3" s="5" t="inlineStr">
        <is>
          <t>Light + upper-body (rope, climbs, 30-miler)</t>
        </is>
      </c>
    </row>
    <row r="4">
      <c r="A4" s="5" t="inlineStr">
        <is>
          <t>US Marine Corps (PFT/CFT)</t>
        </is>
      </c>
      <c r="B4" s="5" t="inlineStr">
        <is>
          <t>80-90 kg</t>
        </is>
      </c>
      <c r="C4" s="5" t="inlineStr">
        <is>
          <t>35-45 lb</t>
        </is>
      </c>
      <c r="D4" s="5" t="inlineStr">
        <is>
          <t>Balanced infantry / amphibious</t>
        </is>
      </c>
    </row>
    <row r="5">
      <c r="A5" s="5" t="inlineStr">
        <is>
          <t>US Army Airborne</t>
        </is>
      </c>
      <c r="B5" s="5" t="inlineStr">
        <is>
          <t>82-90 kg</t>
        </is>
      </c>
      <c r="C5" s="5" t="inlineStr">
        <is>
          <t>35-45 lb</t>
        </is>
      </c>
      <c r="D5" s="5" t="inlineStr">
        <is>
          <t>Paratrooper + PLF landings</t>
        </is>
      </c>
    </row>
    <row r="6">
      <c r="A6" s="5" t="inlineStr">
        <is>
          <t>Navy SEAL (BUD/S)</t>
        </is>
      </c>
      <c r="B6" s="5" t="inlineStr">
        <is>
          <t>80-90 kg</t>
        </is>
      </c>
      <c r="C6" s="5" t="inlineStr">
        <is>
          <t>aquatic</t>
        </is>
      </c>
      <c r="D6" s="5" t="inlineStr">
        <is>
          <t>Swim + upper-body endurance dominant</t>
        </is>
      </c>
    </row>
    <row r="7">
      <c r="A7" s="5" t="inlineStr">
        <is>
          <t>USAF Pararescue (PJ)</t>
        </is>
      </c>
      <c r="B7" s="5" t="inlineStr">
        <is>
          <t>78-86 kg</t>
        </is>
      </c>
      <c r="C7" s="5" t="inlineStr">
        <is>
          <t>25-30 lb</t>
        </is>
      </c>
      <c r="D7" s="5" t="inlineStr">
        <is>
          <t>Aquatic athlete + jump landings</t>
        </is>
      </c>
    </row>
    <row r="8">
      <c r="A8" s="5" t="inlineStr">
        <is>
          <t>US Army Special Forces (SFAS)</t>
        </is>
      </c>
      <c r="B8" s="5" t="inlineStr">
        <is>
          <t>85-95 kg</t>
        </is>
      </c>
      <c r="C8" s="5" t="inlineStr">
        <is>
          <t>45-50 lb</t>
        </is>
      </c>
      <c r="D8" s="5" t="inlineStr">
        <is>
          <t>Heavy ruck + all-rounder</t>
        </is>
      </c>
    </row>
    <row r="9">
      <c r="A9" s="5" t="inlineStr">
        <is>
          <t>UK Special Forces (SAS/SBS)</t>
        </is>
      </c>
      <c r="B9" s="5" t="inlineStr">
        <is>
          <t>80-90 kg</t>
        </is>
      </c>
      <c r="C9" s="5" t="inlineStr">
        <is>
          <t>55 lb</t>
        </is>
      </c>
      <c r="D9" s="5" t="inlineStr">
        <is>
          <t>Heaviest carriage + all-rounder</t>
        </is>
      </c>
    </row>
    <row r="10">
      <c r="A10" s="5" t="inlineStr">
        <is>
          <t>Tactical (generic)</t>
        </is>
      </c>
      <c r="B10" s="5" t="inlineStr">
        <is>
          <t>80-90 kg</t>
        </is>
      </c>
      <c r="C10" s="5" t="inlineStr">
        <is>
          <t>35 lb</t>
        </is>
      </c>
      <c r="D10" s="5" t="inlineStr">
        <is>
          <t>Balanced middle ground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6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I2" sqref="I2:I10"/>
    </sheetView>
  </sheetViews>
  <sheetFormatPr baseColWidth="10" defaultColWidth="8.83203125" defaultRowHeight="15"/>
  <cols>
    <col width="32" customWidth="1" min="1" max="1"/>
    <col width="14" customWidth="1" min="2" max="33"/>
  </cols>
  <sheetData>
    <row r="1" ht="48" customHeight="1">
      <c r="A1" s="4" t="inlineStr">
        <is>
          <t>Pathway</t>
        </is>
      </c>
      <c r="B1" s="4" t="inlineStr">
        <is>
          <t>Back Squat (Pass)</t>
        </is>
      </c>
      <c r="C1" s="4" t="inlineStr">
        <is>
          <t>Back Squat (Good)</t>
        </is>
      </c>
      <c r="D1" s="4" t="inlineStr">
        <is>
          <t>Back Squat (Excellent)</t>
        </is>
      </c>
      <c r="E1" s="4" t="inlineStr">
        <is>
          <t>Back Squat (Elite)</t>
        </is>
      </c>
      <c r="F1" s="4" t="inlineStr">
        <is>
          <t>Hex-bar DL (Pass)</t>
        </is>
      </c>
      <c r="G1" s="4" t="inlineStr">
        <is>
          <t>Hex-bar DL (Good)</t>
        </is>
      </c>
      <c r="H1" s="4" t="inlineStr">
        <is>
          <t>Hex-bar DL (Excellent)</t>
        </is>
      </c>
      <c r="I1" s="4" t="inlineStr">
        <is>
          <t>Hex-bar DL (Elite)</t>
        </is>
      </c>
      <c r="J1" s="4" t="inlineStr">
        <is>
          <t>Conventional DL (Pass)</t>
        </is>
      </c>
      <c r="K1" s="4" t="inlineStr">
        <is>
          <t>Conventional DL (Good)</t>
        </is>
      </c>
      <c r="L1" s="4" t="inlineStr">
        <is>
          <t>Conventional DL (Excellent)</t>
        </is>
      </c>
      <c r="M1" s="4" t="inlineStr">
        <is>
          <t>Conventional DL (Elite)</t>
        </is>
      </c>
      <c r="N1" s="4" t="inlineStr">
        <is>
          <t>Bench Press (Pass)</t>
        </is>
      </c>
      <c r="O1" s="4" t="inlineStr">
        <is>
          <t>Bench Press (Good)</t>
        </is>
      </c>
      <c r="P1" s="4" t="inlineStr">
        <is>
          <t>Bench Press (Excellent)</t>
        </is>
      </c>
      <c r="Q1" s="4" t="inlineStr">
        <is>
          <t>Bench Press (Elite)</t>
        </is>
      </c>
      <c r="R1" s="4" t="inlineStr">
        <is>
          <t>Overhead Press (Pass)</t>
        </is>
      </c>
      <c r="S1" s="4" t="inlineStr">
        <is>
          <t>Overhead Press (Good)</t>
        </is>
      </c>
      <c r="T1" s="4" t="inlineStr">
        <is>
          <t>Overhead Press (Excellent)</t>
        </is>
      </c>
      <c r="U1" s="4" t="inlineStr">
        <is>
          <t>Overhead Press (Elite)</t>
        </is>
      </c>
      <c r="V1" s="4" t="inlineStr">
        <is>
          <t>Power Clean (Pass)</t>
        </is>
      </c>
      <c r="W1" s="4" t="inlineStr">
        <is>
          <t>Power Clean (Good)</t>
        </is>
      </c>
      <c r="X1" s="4" t="inlineStr">
        <is>
          <t>Power Clean (Excellent)</t>
        </is>
      </c>
      <c r="Y1" s="4" t="inlineStr">
        <is>
          <t>Power Clean (Elite)</t>
        </is>
      </c>
      <c r="Z1" s="4" t="inlineStr">
        <is>
          <t>Broad Jump (Pass)</t>
        </is>
      </c>
      <c r="AA1" s="4" t="inlineStr">
        <is>
          <t>Broad Jump (Good)</t>
        </is>
      </c>
      <c r="AB1" s="4" t="inlineStr">
        <is>
          <t>Broad Jump (Excellent)</t>
        </is>
      </c>
      <c r="AC1" s="4" t="inlineStr">
        <is>
          <t>Broad Jump (Elite)</t>
        </is>
      </c>
      <c r="AD1" s="4" t="inlineStr">
        <is>
          <t>Dead hang (grip) (Pass)</t>
        </is>
      </c>
      <c r="AE1" s="4" t="inlineStr">
        <is>
          <t>Dead hang (grip) (Good)</t>
        </is>
      </c>
      <c r="AF1" s="4" t="inlineStr">
        <is>
          <t>Dead hang (grip) (Excellent)</t>
        </is>
      </c>
      <c r="AG1" s="4" t="inlineStr">
        <is>
          <t>Dead hang (grip) (Elite)</t>
        </is>
      </c>
    </row>
    <row r="2">
      <c r="A2" s="5" t="inlineStr">
        <is>
          <t>UK Parachute Regiment (P Coy)</t>
        </is>
      </c>
      <c r="B2" s="6" t="n">
        <v>80</v>
      </c>
      <c r="C2" s="6">
        <f>B2+30</f>
        <v/>
      </c>
      <c r="D2" s="6">
        <f>C2+20</f>
        <v/>
      </c>
      <c r="E2" s="6">
        <f>D2+20</f>
        <v/>
      </c>
      <c r="F2" s="6">
        <f>B2+25</f>
        <v/>
      </c>
      <c r="G2" s="6">
        <f>F2+35</f>
        <v/>
      </c>
      <c r="H2" s="6">
        <f>G2+25</f>
        <v/>
      </c>
      <c r="I2" s="6">
        <f>H2+20</f>
        <v/>
      </c>
      <c r="J2" s="6">
        <f>F2-10</f>
        <v/>
      </c>
      <c r="K2" s="6">
        <f>J2+30</f>
        <v/>
      </c>
      <c r="L2" s="6">
        <f>K2+20</f>
        <v/>
      </c>
      <c r="M2" s="6">
        <f>L2+20</f>
        <v/>
      </c>
      <c r="N2" s="6" t="n">
        <v>75</v>
      </c>
      <c r="O2" s="6" t="n">
        <v>95</v>
      </c>
      <c r="P2" s="6" t="n">
        <v>115</v>
      </c>
      <c r="Q2" s="6" t="n">
        <v>135</v>
      </c>
      <c r="R2" s="6" t="inlineStr">
        <is>
          <t>—</t>
        </is>
      </c>
      <c r="S2" s="6" t="inlineStr">
        <is>
          <t>—</t>
        </is>
      </c>
      <c r="T2" s="6" t="inlineStr">
        <is>
          <t>—</t>
        </is>
      </c>
      <c r="U2" s="6" t="inlineStr">
        <is>
          <t>—</t>
        </is>
      </c>
      <c r="V2" s="6" t="n">
        <v>55</v>
      </c>
      <c r="W2" s="6" t="n">
        <v>75</v>
      </c>
      <c r="X2" s="6" t="n">
        <v>90</v>
      </c>
      <c r="Y2" s="6" t="n">
        <v>110</v>
      </c>
      <c r="Z2" s="6" t="n">
        <v>2.05</v>
      </c>
      <c r="AA2" s="6" t="n">
        <v>2.35</v>
      </c>
      <c r="AB2" s="6" t="n">
        <v>2.6</v>
      </c>
      <c r="AC2" s="6" t="n">
        <v>2.85</v>
      </c>
      <c r="AD2" s="6" t="inlineStr">
        <is>
          <t>0:30</t>
        </is>
      </c>
      <c r="AE2" s="6" t="inlineStr">
        <is>
          <t>1:00</t>
        </is>
      </c>
      <c r="AF2" s="6" t="inlineStr">
        <is>
          <t>1:30</t>
        </is>
      </c>
      <c r="AG2" s="6" t="inlineStr">
        <is>
          <t>2:00</t>
        </is>
      </c>
    </row>
    <row r="3">
      <c r="A3" s="5" t="inlineStr">
        <is>
          <t>UK Royal Marines (Cdo Course)</t>
        </is>
      </c>
      <c r="B3" s="6" t="n">
        <v>110</v>
      </c>
      <c r="C3" s="6">
        <f>B3+30</f>
        <v/>
      </c>
      <c r="D3" s="6">
        <f>C3+20</f>
        <v/>
      </c>
      <c r="E3" s="6">
        <f>D3+20</f>
        <v/>
      </c>
      <c r="F3" s="6">
        <f>B3+25</f>
        <v/>
      </c>
      <c r="G3" s="6">
        <f>F3+35</f>
        <v/>
      </c>
      <c r="H3" s="6">
        <f>G3+25</f>
        <v/>
      </c>
      <c r="I3" s="6">
        <f>H3+20</f>
        <v/>
      </c>
      <c r="J3" s="6">
        <f>F3-10</f>
        <v/>
      </c>
      <c r="K3" s="6">
        <f>J3+30</f>
        <v/>
      </c>
      <c r="L3" s="6">
        <f>K3+20</f>
        <v/>
      </c>
      <c r="M3" s="6">
        <f>L3+20</f>
        <v/>
      </c>
      <c r="N3" s="6" t="n">
        <v>80</v>
      </c>
      <c r="O3" s="6" t="n">
        <v>100</v>
      </c>
      <c r="P3" s="6" t="n">
        <v>120</v>
      </c>
      <c r="Q3" s="6" t="n">
        <v>140</v>
      </c>
      <c r="R3" s="6" t="inlineStr">
        <is>
          <t>—</t>
        </is>
      </c>
      <c r="S3" s="6" t="inlineStr">
        <is>
          <t>—</t>
        </is>
      </c>
      <c r="T3" s="6" t="inlineStr">
        <is>
          <t>—</t>
        </is>
      </c>
      <c r="U3" s="6" t="inlineStr">
        <is>
          <t>—</t>
        </is>
      </c>
      <c r="V3" s="6" t="n">
        <v>60</v>
      </c>
      <c r="W3" s="6" t="n">
        <v>80</v>
      </c>
      <c r="X3" s="6" t="n">
        <v>95</v>
      </c>
      <c r="Y3" s="6" t="n">
        <v>115</v>
      </c>
      <c r="Z3" s="6" t="n">
        <v>2.05</v>
      </c>
      <c r="AA3" s="6" t="n">
        <v>2.35</v>
      </c>
      <c r="AB3" s="6" t="n">
        <v>2.6</v>
      </c>
      <c r="AC3" s="6" t="n">
        <v>2.85</v>
      </c>
      <c r="AD3" s="6" t="inlineStr">
        <is>
          <t>0:35</t>
        </is>
      </c>
      <c r="AE3" s="6" t="inlineStr">
        <is>
          <t>1:00</t>
        </is>
      </c>
      <c r="AF3" s="6" t="inlineStr">
        <is>
          <t>1:30</t>
        </is>
      </c>
      <c r="AG3" s="6" t="inlineStr">
        <is>
          <t>2:00</t>
        </is>
      </c>
    </row>
    <row r="4">
      <c r="A4" s="5" t="inlineStr">
        <is>
          <t>US Marine Corps (PFT/CFT)</t>
        </is>
      </c>
      <c r="B4" s="6" t="n">
        <v>100</v>
      </c>
      <c r="C4" s="6">
        <f>B4+30</f>
        <v/>
      </c>
      <c r="D4" s="6">
        <f>C4+20</f>
        <v/>
      </c>
      <c r="E4" s="6">
        <f>D4+20</f>
        <v/>
      </c>
      <c r="F4" s="6">
        <f>B4+25</f>
        <v/>
      </c>
      <c r="G4" s="6">
        <f>F4+35</f>
        <v/>
      </c>
      <c r="H4" s="6">
        <f>G4+25</f>
        <v/>
      </c>
      <c r="I4" s="6">
        <f>H4+20</f>
        <v/>
      </c>
      <c r="J4" s="6">
        <f>F4-10</f>
        <v/>
      </c>
      <c r="K4" s="6">
        <f>J4+30</f>
        <v/>
      </c>
      <c r="L4" s="6">
        <f>K4+20</f>
        <v/>
      </c>
      <c r="M4" s="6">
        <f>L4+20</f>
        <v/>
      </c>
      <c r="N4" s="6" t="n">
        <v>80</v>
      </c>
      <c r="O4" s="6" t="n">
        <v>100</v>
      </c>
      <c r="P4" s="6" t="n">
        <v>120</v>
      </c>
      <c r="Q4" s="6" t="n">
        <v>140</v>
      </c>
      <c r="R4" s="6" t="inlineStr">
        <is>
          <t>—</t>
        </is>
      </c>
      <c r="S4" s="6" t="inlineStr">
        <is>
          <t>—</t>
        </is>
      </c>
      <c r="T4" s="6" t="inlineStr">
        <is>
          <t>—</t>
        </is>
      </c>
      <c r="U4" s="6" t="inlineStr">
        <is>
          <t>—</t>
        </is>
      </c>
      <c r="V4" s="6" t="n">
        <v>65</v>
      </c>
      <c r="W4" s="6" t="n">
        <v>85</v>
      </c>
      <c r="X4" s="6" t="n">
        <v>100</v>
      </c>
      <c r="Y4" s="6" t="n">
        <v>120</v>
      </c>
      <c r="Z4" s="6" t="n">
        <v>2.1</v>
      </c>
      <c r="AA4" s="6" t="n">
        <v>2.4</v>
      </c>
      <c r="AB4" s="6" t="n">
        <v>2.65</v>
      </c>
      <c r="AC4" s="6" t="n">
        <v>2.9</v>
      </c>
      <c r="AD4" s="6" t="inlineStr">
        <is>
          <t>0:40</t>
        </is>
      </c>
      <c r="AE4" s="6" t="inlineStr">
        <is>
          <t>1:05</t>
        </is>
      </c>
      <c r="AF4" s="6" t="inlineStr">
        <is>
          <t>1:35</t>
        </is>
      </c>
      <c r="AG4" s="6" t="inlineStr">
        <is>
          <t>2:00</t>
        </is>
      </c>
    </row>
    <row r="5">
      <c r="A5" s="5" t="inlineStr">
        <is>
          <t>US Army Airborne</t>
        </is>
      </c>
      <c r="B5" s="6" t="n">
        <v>95</v>
      </c>
      <c r="C5" s="6">
        <f>B5+30</f>
        <v/>
      </c>
      <c r="D5" s="6">
        <f>C5+20</f>
        <v/>
      </c>
      <c r="E5" s="6">
        <f>D5+20</f>
        <v/>
      </c>
      <c r="F5" s="6">
        <f>B5+25</f>
        <v/>
      </c>
      <c r="G5" s="6">
        <f>F5+35</f>
        <v/>
      </c>
      <c r="H5" s="6">
        <f>G5+25</f>
        <v/>
      </c>
      <c r="I5" s="6">
        <f>H5+20</f>
        <v/>
      </c>
      <c r="J5" s="6">
        <f>F5-10</f>
        <v/>
      </c>
      <c r="K5" s="6">
        <f>J5+30</f>
        <v/>
      </c>
      <c r="L5" s="6">
        <f>K5+20</f>
        <v/>
      </c>
      <c r="M5" s="6">
        <f>L5+20</f>
        <v/>
      </c>
      <c r="N5" s="6" t="n">
        <v>80</v>
      </c>
      <c r="O5" s="6" t="n">
        <v>100</v>
      </c>
      <c r="P5" s="6" t="n">
        <v>120</v>
      </c>
      <c r="Q5" s="6" t="n">
        <v>135</v>
      </c>
      <c r="R5" s="6" t="inlineStr">
        <is>
          <t>—</t>
        </is>
      </c>
      <c r="S5" s="6" t="inlineStr">
        <is>
          <t>—</t>
        </is>
      </c>
      <c r="T5" s="6" t="inlineStr">
        <is>
          <t>—</t>
        </is>
      </c>
      <c r="U5" s="6" t="inlineStr">
        <is>
          <t>—</t>
        </is>
      </c>
      <c r="V5" s="6" t="n">
        <v>70</v>
      </c>
      <c r="W5" s="6" t="n">
        <v>90</v>
      </c>
      <c r="X5" s="6" t="n">
        <v>105</v>
      </c>
      <c r="Y5" s="6" t="n">
        <v>125</v>
      </c>
      <c r="Z5" s="6" t="n">
        <v>2.15</v>
      </c>
      <c r="AA5" s="6" t="n">
        <v>2.45</v>
      </c>
      <c r="AB5" s="6" t="n">
        <v>2.7</v>
      </c>
      <c r="AC5" s="6" t="n">
        <v>2.95</v>
      </c>
      <c r="AD5" s="6" t="inlineStr">
        <is>
          <t>0:40</t>
        </is>
      </c>
      <c r="AE5" s="6" t="inlineStr">
        <is>
          <t>1:05</t>
        </is>
      </c>
      <c r="AF5" s="6" t="inlineStr">
        <is>
          <t>1:35</t>
        </is>
      </c>
      <c r="AG5" s="6" t="inlineStr">
        <is>
          <t>2:00</t>
        </is>
      </c>
    </row>
    <row r="6">
      <c r="A6" s="5" t="inlineStr">
        <is>
          <t>Navy SEAL (BUD/S)</t>
        </is>
      </c>
      <c r="B6" s="6" t="n">
        <v>100</v>
      </c>
      <c r="C6" s="6">
        <f>B6+30</f>
        <v/>
      </c>
      <c r="D6" s="6">
        <f>C6+20</f>
        <v/>
      </c>
      <c r="E6" s="6">
        <f>D6+20</f>
        <v/>
      </c>
      <c r="F6" s="6">
        <f>B6+25</f>
        <v/>
      </c>
      <c r="G6" s="6">
        <f>F6+35</f>
        <v/>
      </c>
      <c r="H6" s="6">
        <f>G6+25</f>
        <v/>
      </c>
      <c r="I6" s="6">
        <f>H6+20</f>
        <v/>
      </c>
      <c r="J6" s="6">
        <f>F6-10</f>
        <v/>
      </c>
      <c r="K6" s="6">
        <f>J6+30</f>
        <v/>
      </c>
      <c r="L6" s="6">
        <f>K6+20</f>
        <v/>
      </c>
      <c r="M6" s="6">
        <f>L6+20</f>
        <v/>
      </c>
      <c r="N6" s="6" t="n">
        <v>80</v>
      </c>
      <c r="O6" s="6" t="n">
        <v>100</v>
      </c>
      <c r="P6" s="6" t="n">
        <v>120</v>
      </c>
      <c r="Q6" s="6" t="n">
        <v>140</v>
      </c>
      <c r="R6" s="6" t="inlineStr">
        <is>
          <t>—</t>
        </is>
      </c>
      <c r="S6" s="6" t="inlineStr">
        <is>
          <t>—</t>
        </is>
      </c>
      <c r="T6" s="6" t="inlineStr">
        <is>
          <t>—</t>
        </is>
      </c>
      <c r="U6" s="6" t="inlineStr">
        <is>
          <t>—</t>
        </is>
      </c>
      <c r="V6" s="6" t="n">
        <v>65</v>
      </c>
      <c r="W6" s="6" t="n">
        <v>85</v>
      </c>
      <c r="X6" s="6" t="n">
        <v>100</v>
      </c>
      <c r="Y6" s="6" t="n">
        <v>120</v>
      </c>
      <c r="Z6" s="6" t="n">
        <v>2.1</v>
      </c>
      <c r="AA6" s="6" t="n">
        <v>2.4</v>
      </c>
      <c r="AB6" s="6" t="n">
        <v>2.65</v>
      </c>
      <c r="AC6" s="6" t="n">
        <v>2.9</v>
      </c>
      <c r="AD6" s="6" t="inlineStr">
        <is>
          <t>0:45</t>
        </is>
      </c>
      <c r="AE6" s="6" t="inlineStr">
        <is>
          <t>1:15</t>
        </is>
      </c>
      <c r="AF6" s="6" t="inlineStr">
        <is>
          <t>1:50</t>
        </is>
      </c>
      <c r="AG6" s="6" t="inlineStr">
        <is>
          <t>2:30</t>
        </is>
      </c>
    </row>
    <row r="7">
      <c r="A7" s="5" t="inlineStr">
        <is>
          <t>USAF Pararescue (PJ)</t>
        </is>
      </c>
      <c r="B7" s="6" t="n">
        <v>95</v>
      </c>
      <c r="C7" s="6">
        <f>B7+30</f>
        <v/>
      </c>
      <c r="D7" s="6">
        <f>C7+20</f>
        <v/>
      </c>
      <c r="E7" s="6">
        <f>D7+20</f>
        <v/>
      </c>
      <c r="F7" s="6">
        <f>B7+25</f>
        <v/>
      </c>
      <c r="G7" s="6">
        <f>F7+35</f>
        <v/>
      </c>
      <c r="H7" s="6">
        <f>G7+25</f>
        <v/>
      </c>
      <c r="I7" s="6">
        <f>H7+20</f>
        <v/>
      </c>
      <c r="J7" s="6">
        <f>F7-10</f>
        <v/>
      </c>
      <c r="K7" s="6">
        <f>J7+30</f>
        <v/>
      </c>
      <c r="L7" s="6">
        <f>K7+20</f>
        <v/>
      </c>
      <c r="M7" s="6">
        <f>L7+20</f>
        <v/>
      </c>
      <c r="N7" s="6" t="n">
        <v>75</v>
      </c>
      <c r="O7" s="6" t="n">
        <v>95</v>
      </c>
      <c r="P7" s="6" t="n">
        <v>115</v>
      </c>
      <c r="Q7" s="6" t="n">
        <v>135</v>
      </c>
      <c r="R7" s="6" t="inlineStr">
        <is>
          <t>—</t>
        </is>
      </c>
      <c r="S7" s="6" t="inlineStr">
        <is>
          <t>—</t>
        </is>
      </c>
      <c r="T7" s="6" t="inlineStr">
        <is>
          <t>—</t>
        </is>
      </c>
      <c r="U7" s="6" t="inlineStr">
        <is>
          <t>—</t>
        </is>
      </c>
      <c r="V7" s="6" t="n">
        <v>60</v>
      </c>
      <c r="W7" s="6" t="n">
        <v>80</v>
      </c>
      <c r="X7" s="6" t="n">
        <v>95</v>
      </c>
      <c r="Y7" s="6" t="n">
        <v>110</v>
      </c>
      <c r="Z7" s="6" t="n">
        <v>2.05</v>
      </c>
      <c r="AA7" s="6" t="n">
        <v>2.35</v>
      </c>
      <c r="AB7" s="6" t="n">
        <v>2.6</v>
      </c>
      <c r="AC7" s="6" t="n">
        <v>2.85</v>
      </c>
      <c r="AD7" s="6" t="inlineStr">
        <is>
          <t>0:45</t>
        </is>
      </c>
      <c r="AE7" s="6" t="inlineStr">
        <is>
          <t>1:15</t>
        </is>
      </c>
      <c r="AF7" s="6" t="inlineStr">
        <is>
          <t>1:45</t>
        </is>
      </c>
      <c r="AG7" s="6" t="inlineStr">
        <is>
          <t>2:20</t>
        </is>
      </c>
    </row>
    <row r="8">
      <c r="A8" s="5" t="inlineStr">
        <is>
          <t>US Army Special Forces (SFAS)</t>
        </is>
      </c>
      <c r="B8" s="6" t="n">
        <v>110</v>
      </c>
      <c r="C8" s="6">
        <f>B8+30</f>
        <v/>
      </c>
      <c r="D8" s="6">
        <f>C8+20</f>
        <v/>
      </c>
      <c r="E8" s="6">
        <f>D8+20</f>
        <v/>
      </c>
      <c r="F8" s="6">
        <f>B8+25</f>
        <v/>
      </c>
      <c r="G8" s="6">
        <f>F8+35</f>
        <v/>
      </c>
      <c r="H8" s="6">
        <f>G8+25</f>
        <v/>
      </c>
      <c r="I8" s="6">
        <f>H8+20</f>
        <v/>
      </c>
      <c r="J8" s="6">
        <f>F8-10</f>
        <v/>
      </c>
      <c r="K8" s="6">
        <f>J8+30</f>
        <v/>
      </c>
      <c r="L8" s="6">
        <f>K8+20</f>
        <v/>
      </c>
      <c r="M8" s="6">
        <f>L8+20</f>
        <v/>
      </c>
      <c r="N8" s="6" t="n">
        <v>90</v>
      </c>
      <c r="O8" s="6" t="n">
        <v>110</v>
      </c>
      <c r="P8" s="6" t="n">
        <v>130</v>
      </c>
      <c r="Q8" s="6" t="n">
        <v>155</v>
      </c>
      <c r="R8" s="6" t="n">
        <v>50</v>
      </c>
      <c r="S8" s="6" t="n">
        <v>70</v>
      </c>
      <c r="T8" s="6" t="n">
        <v>90</v>
      </c>
      <c r="U8" s="6" t="n">
        <v>105</v>
      </c>
      <c r="V8" s="6" t="n">
        <v>80</v>
      </c>
      <c r="W8" s="6" t="n">
        <v>100</v>
      </c>
      <c r="X8" s="6" t="n">
        <v>120</v>
      </c>
      <c r="Y8" s="6" t="n">
        <v>140</v>
      </c>
      <c r="Z8" s="6" t="n">
        <v>2.2</v>
      </c>
      <c r="AA8" s="6" t="n">
        <v>2.5</v>
      </c>
      <c r="AB8" s="6" t="n">
        <v>2.75</v>
      </c>
      <c r="AC8" s="6" t="n">
        <v>3</v>
      </c>
      <c r="AD8" s="6" t="inlineStr">
        <is>
          <t>0:45</t>
        </is>
      </c>
      <c r="AE8" s="6" t="inlineStr">
        <is>
          <t>1:10</t>
        </is>
      </c>
      <c r="AF8" s="6" t="inlineStr">
        <is>
          <t>1:40</t>
        </is>
      </c>
      <c r="AG8" s="6" t="inlineStr">
        <is>
          <t>2:10</t>
        </is>
      </c>
    </row>
    <row r="9">
      <c r="A9" s="5" t="inlineStr">
        <is>
          <t>UK Special Forces (SAS/SBS)</t>
        </is>
      </c>
      <c r="B9" s="6" t="n">
        <v>100</v>
      </c>
      <c r="C9" s="6">
        <f>B9+30</f>
        <v/>
      </c>
      <c r="D9" s="6">
        <f>C9+20</f>
        <v/>
      </c>
      <c r="E9" s="6">
        <f>D9+20</f>
        <v/>
      </c>
      <c r="F9" s="6">
        <f>B9+25</f>
        <v/>
      </c>
      <c r="G9" s="6">
        <f>F9+35</f>
        <v/>
      </c>
      <c r="H9" s="6">
        <f>G9+25</f>
        <v/>
      </c>
      <c r="I9" s="6">
        <f>H9+20</f>
        <v/>
      </c>
      <c r="J9" s="6">
        <f>F9-10</f>
        <v/>
      </c>
      <c r="K9" s="6">
        <f>J9+30</f>
        <v/>
      </c>
      <c r="L9" s="6">
        <f>K9+20</f>
        <v/>
      </c>
      <c r="M9" s="6">
        <f>L9+20</f>
        <v/>
      </c>
      <c r="N9" s="6" t="n">
        <v>90</v>
      </c>
      <c r="O9" s="6" t="n">
        <v>110</v>
      </c>
      <c r="P9" s="6" t="n">
        <v>130</v>
      </c>
      <c r="Q9" s="6" t="n">
        <v>150</v>
      </c>
      <c r="R9" s="6" t="inlineStr">
        <is>
          <t>—</t>
        </is>
      </c>
      <c r="S9" s="6" t="inlineStr">
        <is>
          <t>—</t>
        </is>
      </c>
      <c r="T9" s="6" t="inlineStr">
        <is>
          <t>—</t>
        </is>
      </c>
      <c r="U9" s="6" t="inlineStr">
        <is>
          <t>—</t>
        </is>
      </c>
      <c r="V9" s="6" t="n">
        <v>80</v>
      </c>
      <c r="W9" s="6" t="n">
        <v>100</v>
      </c>
      <c r="X9" s="6" t="n">
        <v>120</v>
      </c>
      <c r="Y9" s="6" t="n">
        <v>135</v>
      </c>
      <c r="Z9" s="6" t="n">
        <v>2.25</v>
      </c>
      <c r="AA9" s="6" t="n">
        <v>2.55</v>
      </c>
      <c r="AB9" s="6" t="n">
        <v>2.8</v>
      </c>
      <c r="AC9" s="6" t="n">
        <v>3.05</v>
      </c>
      <c r="AD9" s="6" t="inlineStr">
        <is>
          <t>0:45</t>
        </is>
      </c>
      <c r="AE9" s="6" t="inlineStr">
        <is>
          <t>1:10</t>
        </is>
      </c>
      <c r="AF9" s="6" t="inlineStr">
        <is>
          <t>1:40</t>
        </is>
      </c>
      <c r="AG9" s="6" t="inlineStr">
        <is>
          <t>2:10</t>
        </is>
      </c>
    </row>
    <row r="10">
      <c r="A10" s="5" t="inlineStr">
        <is>
          <t>Tactical (generic)</t>
        </is>
      </c>
      <c r="B10" s="6" t="n">
        <v>105</v>
      </c>
      <c r="C10" s="6">
        <f>B10+30</f>
        <v/>
      </c>
      <c r="D10" s="6">
        <f>C10+20</f>
        <v/>
      </c>
      <c r="E10" s="6">
        <f>D10+20</f>
        <v/>
      </c>
      <c r="F10" s="6">
        <f>B10+25</f>
        <v/>
      </c>
      <c r="G10" s="6">
        <f>F10+35</f>
        <v/>
      </c>
      <c r="H10" s="6">
        <f>G10+25</f>
        <v/>
      </c>
      <c r="I10" s="6">
        <f>H10+20</f>
        <v/>
      </c>
      <c r="J10" s="6">
        <f>F10-10</f>
        <v/>
      </c>
      <c r="K10" s="6">
        <f>J10+30</f>
        <v/>
      </c>
      <c r="L10" s="6">
        <f>K10+20</f>
        <v/>
      </c>
      <c r="M10" s="6">
        <f>L10+20</f>
        <v/>
      </c>
      <c r="N10" s="6" t="n">
        <v>80</v>
      </c>
      <c r="O10" s="6" t="n">
        <v>105</v>
      </c>
      <c r="P10" s="6" t="n">
        <v>125</v>
      </c>
      <c r="Q10" s="6" t="n">
        <v>145</v>
      </c>
      <c r="R10" s="6" t="inlineStr">
        <is>
          <t>—</t>
        </is>
      </c>
      <c r="S10" s="6" t="inlineStr">
        <is>
          <t>—</t>
        </is>
      </c>
      <c r="T10" s="6" t="inlineStr">
        <is>
          <t>—</t>
        </is>
      </c>
      <c r="U10" s="6" t="inlineStr">
        <is>
          <t>—</t>
        </is>
      </c>
      <c r="V10" s="6" t="n">
        <v>70</v>
      </c>
      <c r="W10" s="6" t="n">
        <v>90</v>
      </c>
      <c r="X10" s="6" t="n">
        <v>110</v>
      </c>
      <c r="Y10" s="6" t="n">
        <v>125</v>
      </c>
      <c r="Z10" s="6" t="n">
        <v>2.1</v>
      </c>
      <c r="AA10" s="6" t="n">
        <v>2.4</v>
      </c>
      <c r="AB10" s="6" t="n">
        <v>2.65</v>
      </c>
      <c r="AC10" s="6" t="n">
        <v>2.9</v>
      </c>
      <c r="AD10" s="6" t="inlineStr">
        <is>
          <t>0:40</t>
        </is>
      </c>
      <c r="AE10" s="6" t="inlineStr">
        <is>
          <t>1:05</t>
        </is>
      </c>
      <c r="AF10" s="6" t="inlineStr">
        <is>
          <t>1:35</t>
        </is>
      </c>
      <c r="AG10" s="6" t="inlineStr">
        <is>
          <t>2:00</t>
        </is>
      </c>
    </row>
    <row r="11">
      <c r="A11" t="inlineStr">
        <is>
          <t>Police PT</t>
        </is>
      </c>
      <c r="B11" t="n">
        <v>80</v>
      </c>
      <c r="C11" t="n">
        <v>100</v>
      </c>
      <c r="D11" t="n">
        <v>120</v>
      </c>
      <c r="E11" t="n">
        <v>140</v>
      </c>
      <c r="F11" t="n">
        <v>100</v>
      </c>
      <c r="G11" t="n">
        <v>125</v>
      </c>
      <c r="H11" t="n">
        <v>150</v>
      </c>
      <c r="I11" t="n">
        <v>170</v>
      </c>
      <c r="J11" t="n">
        <v>90</v>
      </c>
      <c r="K11" t="n">
        <v>115</v>
      </c>
      <c r="L11" t="n">
        <v>140</v>
      </c>
      <c r="M11" t="n">
        <v>160</v>
      </c>
      <c r="N11" t="n">
        <v>65</v>
      </c>
      <c r="O11" t="n">
        <v>80</v>
      </c>
      <c r="P11" t="n">
        <v>95</v>
      </c>
      <c r="Q11" t="n">
        <v>110</v>
      </c>
      <c r="R11" t="inlineStr">
        <is>
          <t>—</t>
        </is>
      </c>
      <c r="S11" t="inlineStr">
        <is>
          <t>—</t>
        </is>
      </c>
      <c r="T11" t="inlineStr">
        <is>
          <t>—</t>
        </is>
      </c>
      <c r="U11" t="inlineStr">
        <is>
          <t>—</t>
        </is>
      </c>
      <c r="V11" t="n">
        <v>45</v>
      </c>
      <c r="W11" t="n">
        <v>60</v>
      </c>
      <c r="X11" t="n">
        <v>75</v>
      </c>
      <c r="Y11" t="n">
        <v>90</v>
      </c>
      <c r="Z11" t="n">
        <v>1.7</v>
      </c>
      <c r="AA11" t="n">
        <v>1.9</v>
      </c>
      <c r="AB11" t="n">
        <v>2.1</v>
      </c>
      <c r="AC11" t="n">
        <v>2.3</v>
      </c>
      <c r="AD11" t="inlineStr">
        <is>
          <t>0:30</t>
        </is>
      </c>
      <c r="AE11" t="inlineStr">
        <is>
          <t>0:50</t>
        </is>
      </c>
      <c r="AF11" t="inlineStr">
        <is>
          <t>1:15</t>
        </is>
      </c>
      <c r="AG11" t="inlineStr">
        <is>
          <t>1:40</t>
        </is>
      </c>
    </row>
    <row r="12">
      <c r="A12" t="inlineStr">
        <is>
          <t>SWAT / Tactical Team</t>
        </is>
      </c>
      <c r="B12" t="n">
        <v>100</v>
      </c>
      <c r="C12" t="n">
        <v>125</v>
      </c>
      <c r="D12" t="n">
        <v>150</v>
      </c>
      <c r="E12" t="n">
        <v>175</v>
      </c>
      <c r="F12" t="n">
        <v>130</v>
      </c>
      <c r="G12" t="n">
        <v>160</v>
      </c>
      <c r="H12" t="n">
        <v>185</v>
      </c>
      <c r="I12" t="n">
        <v>210</v>
      </c>
      <c r="J12" t="n">
        <v>115</v>
      </c>
      <c r="K12" t="n">
        <v>145</v>
      </c>
      <c r="L12" t="n">
        <v>170</v>
      </c>
      <c r="M12" t="n">
        <v>195</v>
      </c>
      <c r="N12" t="n">
        <v>80</v>
      </c>
      <c r="O12" t="n">
        <v>100</v>
      </c>
      <c r="P12" t="n">
        <v>120</v>
      </c>
      <c r="Q12" t="n">
        <v>140</v>
      </c>
      <c r="R12" t="n">
        <v>50</v>
      </c>
      <c r="S12" t="n">
        <v>65</v>
      </c>
      <c r="T12" t="n">
        <v>80</v>
      </c>
      <c r="U12" t="n">
        <v>95</v>
      </c>
      <c r="V12" t="n">
        <v>65</v>
      </c>
      <c r="W12" t="n">
        <v>85</v>
      </c>
      <c r="X12" t="n">
        <v>100</v>
      </c>
      <c r="Y12" t="n">
        <v>120</v>
      </c>
      <c r="Z12" t="n">
        <v>1.9</v>
      </c>
      <c r="AA12" t="n">
        <v>2.1</v>
      </c>
      <c r="AB12" t="n">
        <v>2.3</v>
      </c>
      <c r="AC12" t="n">
        <v>2.5</v>
      </c>
      <c r="AD12" t="inlineStr">
        <is>
          <t>0:45</t>
        </is>
      </c>
      <c r="AE12" t="inlineStr">
        <is>
          <t>1:15</t>
        </is>
      </c>
      <c r="AF12" t="inlineStr">
        <is>
          <t>1:40</t>
        </is>
      </c>
      <c r="AG12" t="inlineStr">
        <is>
          <t>2:10</t>
        </is>
      </c>
    </row>
    <row r="13">
      <c r="A13" t="inlineStr">
        <is>
          <t>US Army</t>
        </is>
      </c>
      <c r="B13" t="n">
        <v>80</v>
      </c>
      <c r="C13" t="n">
        <v>105</v>
      </c>
      <c r="D13" t="n">
        <v>130</v>
      </c>
      <c r="E13" t="n">
        <v>155</v>
      </c>
      <c r="F13" t="n">
        <v>100</v>
      </c>
      <c r="G13" t="n">
        <v>130</v>
      </c>
      <c r="H13" t="n">
        <v>160</v>
      </c>
      <c r="I13" t="n">
        <v>185</v>
      </c>
      <c r="J13" t="n">
        <v>90</v>
      </c>
      <c r="K13" t="n">
        <v>115</v>
      </c>
      <c r="L13" t="n">
        <v>145</v>
      </c>
      <c r="M13" t="n">
        <v>170</v>
      </c>
      <c r="N13" t="n">
        <v>60</v>
      </c>
      <c r="O13" t="n">
        <v>80</v>
      </c>
      <c r="P13" t="n">
        <v>100</v>
      </c>
      <c r="Q13" t="n">
        <v>120</v>
      </c>
      <c r="R13" t="inlineStr">
        <is>
          <t>—</t>
        </is>
      </c>
      <c r="S13" t="inlineStr">
        <is>
          <t>—</t>
        </is>
      </c>
      <c r="T13" t="inlineStr">
        <is>
          <t>—</t>
        </is>
      </c>
      <c r="U13" t="inlineStr">
        <is>
          <t>—</t>
        </is>
      </c>
      <c r="V13" t="n">
        <v>50</v>
      </c>
      <c r="W13" t="n">
        <v>70</v>
      </c>
      <c r="X13" t="n">
        <v>90</v>
      </c>
      <c r="Y13" t="n">
        <v>110</v>
      </c>
      <c r="Z13" t="n">
        <v>1.7</v>
      </c>
      <c r="AA13" t="n">
        <v>1.9</v>
      </c>
      <c r="AB13" t="n">
        <v>2.1</v>
      </c>
      <c r="AC13" t="n">
        <v>2.3</v>
      </c>
      <c r="AD13" t="inlineStr">
        <is>
          <t>0:30</t>
        </is>
      </c>
      <c r="AE13" t="inlineStr">
        <is>
          <t>0:50</t>
        </is>
      </c>
      <c r="AF13" t="inlineStr">
        <is>
          <t>1:15</t>
        </is>
      </c>
      <c r="AG13" t="inlineStr">
        <is>
          <t>1:40</t>
        </is>
      </c>
    </row>
    <row r="14">
      <c r="A14" t="inlineStr">
        <is>
          <t>US Infantry</t>
        </is>
      </c>
      <c r="B14" t="n">
        <v>100</v>
      </c>
      <c r="C14" t="n">
        <v>130</v>
      </c>
      <c r="D14" t="n">
        <v>155</v>
      </c>
      <c r="E14" t="n">
        <v>175</v>
      </c>
      <c r="F14" t="n">
        <v>120</v>
      </c>
      <c r="G14" t="n">
        <v>155</v>
      </c>
      <c r="H14" t="n">
        <v>185</v>
      </c>
      <c r="I14" t="n">
        <v>210</v>
      </c>
      <c r="J14" t="n">
        <v>110</v>
      </c>
      <c r="K14" t="n">
        <v>140</v>
      </c>
      <c r="L14" t="n">
        <v>170</v>
      </c>
      <c r="M14" t="n">
        <v>195</v>
      </c>
      <c r="N14" t="n">
        <v>75</v>
      </c>
      <c r="O14" t="n">
        <v>95</v>
      </c>
      <c r="P14" t="n">
        <v>115</v>
      </c>
      <c r="Q14" t="n">
        <v>135</v>
      </c>
      <c r="R14" t="inlineStr">
        <is>
          <t>—</t>
        </is>
      </c>
      <c r="S14" t="inlineStr">
        <is>
          <t>—</t>
        </is>
      </c>
      <c r="T14" t="inlineStr">
        <is>
          <t>—</t>
        </is>
      </c>
      <c r="U14" t="inlineStr">
        <is>
          <t>—</t>
        </is>
      </c>
      <c r="V14" t="inlineStr">
        <is>
          <t>—</t>
        </is>
      </c>
      <c r="W14" t="inlineStr">
        <is>
          <t>—</t>
        </is>
      </c>
      <c r="X14" t="inlineStr">
        <is>
          <t>—</t>
        </is>
      </c>
      <c r="Y14" t="inlineStr">
        <is>
          <t>—</t>
        </is>
      </c>
      <c r="Z14" t="inlineStr">
        <is>
          <t>—</t>
        </is>
      </c>
      <c r="AA14" t="inlineStr">
        <is>
          <t>—</t>
        </is>
      </c>
      <c r="AB14" t="inlineStr">
        <is>
          <t>—</t>
        </is>
      </c>
      <c r="AC14" t="inlineStr">
        <is>
          <t>—</t>
        </is>
      </c>
      <c r="AD14" t="inlineStr">
        <is>
          <t>0:35</t>
        </is>
      </c>
      <c r="AE14" t="inlineStr">
        <is>
          <t>1:00</t>
        </is>
      </c>
      <c r="AF14" t="inlineStr">
        <is>
          <t>1:30</t>
        </is>
      </c>
      <c r="AG14" t="inlineStr">
        <is>
          <t>2:00</t>
        </is>
      </c>
    </row>
    <row r="15">
      <c r="A15" t="inlineStr">
        <is>
          <t>UK Army</t>
        </is>
      </c>
      <c r="B15" t="n">
        <v>80</v>
      </c>
      <c r="C15" t="n">
        <v>105</v>
      </c>
      <c r="D15" t="n">
        <v>130</v>
      </c>
      <c r="E15" t="n">
        <v>155</v>
      </c>
      <c r="F15" t="n">
        <v>100</v>
      </c>
      <c r="G15" t="n">
        <v>130</v>
      </c>
      <c r="H15" t="n">
        <v>160</v>
      </c>
      <c r="I15" t="n">
        <v>185</v>
      </c>
      <c r="J15" t="n">
        <v>90</v>
      </c>
      <c r="K15" t="n">
        <v>115</v>
      </c>
      <c r="L15" t="n">
        <v>145</v>
      </c>
      <c r="M15" t="n">
        <v>170</v>
      </c>
      <c r="N15" t="n">
        <v>60</v>
      </c>
      <c r="O15" t="n">
        <v>80</v>
      </c>
      <c r="P15" t="n">
        <v>100</v>
      </c>
      <c r="Q15" t="n">
        <v>120</v>
      </c>
      <c r="R15" t="inlineStr">
        <is>
          <t>—</t>
        </is>
      </c>
      <c r="S15" t="inlineStr">
        <is>
          <t>—</t>
        </is>
      </c>
      <c r="T15" t="inlineStr">
        <is>
          <t>—</t>
        </is>
      </c>
      <c r="U15" t="inlineStr">
        <is>
          <t>—</t>
        </is>
      </c>
      <c r="V15" t="n">
        <v>50</v>
      </c>
      <c r="W15" t="n">
        <v>70</v>
      </c>
      <c r="X15" t="n">
        <v>90</v>
      </c>
      <c r="Y15" t="n">
        <v>110</v>
      </c>
      <c r="Z15" t="n">
        <v>1.7</v>
      </c>
      <c r="AA15" t="n">
        <v>1.9</v>
      </c>
      <c r="AB15" t="n">
        <v>2.1</v>
      </c>
      <c r="AC15" t="n">
        <v>2.3</v>
      </c>
      <c r="AD15" t="inlineStr">
        <is>
          <t>0:30</t>
        </is>
      </c>
      <c r="AE15" t="inlineStr">
        <is>
          <t>0:50</t>
        </is>
      </c>
      <c r="AF15" t="inlineStr">
        <is>
          <t>1:15</t>
        </is>
      </c>
      <c r="AG15" t="inlineStr">
        <is>
          <t>1:40</t>
        </is>
      </c>
    </row>
    <row r="16">
      <c r="A16" t="inlineStr">
        <is>
          <t>UK Infantry</t>
        </is>
      </c>
      <c r="B16" t="n">
        <v>100</v>
      </c>
      <c r="C16" t="n">
        <v>130</v>
      </c>
      <c r="D16" t="n">
        <v>155</v>
      </c>
      <c r="E16" t="n">
        <v>175</v>
      </c>
      <c r="F16" t="n">
        <v>120</v>
      </c>
      <c r="G16" t="n">
        <v>155</v>
      </c>
      <c r="H16" t="n">
        <v>185</v>
      </c>
      <c r="I16" t="n">
        <v>210</v>
      </c>
      <c r="J16" t="n">
        <v>110</v>
      </c>
      <c r="K16" t="n">
        <v>140</v>
      </c>
      <c r="L16" t="n">
        <v>170</v>
      </c>
      <c r="M16" t="n">
        <v>195</v>
      </c>
      <c r="N16" t="n">
        <v>75</v>
      </c>
      <c r="O16" t="n">
        <v>95</v>
      </c>
      <c r="P16" t="n">
        <v>115</v>
      </c>
      <c r="Q16" t="n">
        <v>135</v>
      </c>
      <c r="R16" t="inlineStr">
        <is>
          <t>—</t>
        </is>
      </c>
      <c r="S16" t="inlineStr">
        <is>
          <t>—</t>
        </is>
      </c>
      <c r="T16" t="inlineStr">
        <is>
          <t>—</t>
        </is>
      </c>
      <c r="U16" t="inlineStr">
        <is>
          <t>—</t>
        </is>
      </c>
      <c r="V16" t="inlineStr">
        <is>
          <t>—</t>
        </is>
      </c>
      <c r="W16" t="inlineStr">
        <is>
          <t>—</t>
        </is>
      </c>
      <c r="X16" t="inlineStr">
        <is>
          <t>—</t>
        </is>
      </c>
      <c r="Y16" t="inlineStr">
        <is>
          <t>—</t>
        </is>
      </c>
      <c r="Z16" t="inlineStr">
        <is>
          <t>—</t>
        </is>
      </c>
      <c r="AA16" t="inlineStr">
        <is>
          <t>—</t>
        </is>
      </c>
      <c r="AB16" t="inlineStr">
        <is>
          <t>—</t>
        </is>
      </c>
      <c r="AC16" t="inlineStr">
        <is>
          <t>—</t>
        </is>
      </c>
      <c r="AD16" t="inlineStr">
        <is>
          <t>0:35</t>
        </is>
      </c>
      <c r="AE16" t="inlineStr">
        <is>
          <t>1:00</t>
        </is>
      </c>
      <c r="AF16" t="inlineStr">
        <is>
          <t>1:30</t>
        </is>
      </c>
      <c r="AG16" t="inlineStr">
        <is>
          <t>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2026-05-11T08:45:13Z</dcterms:created>
  <dcterms:modified xmlns:dcterms="http://purl.org/dc/terms/" xmlns:xsi="http://www.w3.org/2001/XMLSchema-instance" xsi:type="dcterms:W3CDTF">2026-05-21T07:29:08Z</dcterms:modified>
  <cp:lastModifiedBy>Tom Williams</cp:lastModifiedBy>
</cp:coreProperties>
</file>